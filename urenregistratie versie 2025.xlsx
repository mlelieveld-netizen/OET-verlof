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N:\1. Documenten VanDenOetelaar-Metaal\1.Bedrijfsvoering\1.Medewerkers\uren\2025\Maickel\Verlofaanvragen\"/>
    </mc:Choice>
  </mc:AlternateContent>
  <xr:revisionPtr revIDLastSave="0" documentId="13_ncr:1_{DE9A4455-FB87-478F-8942-8F7C33AB5F13}" xr6:coauthVersionLast="47" xr6:coauthVersionMax="47" xr10:uidLastSave="{00000000-0000-0000-0000-000000000000}"/>
  <bookViews>
    <workbookView xWindow="-120" yWindow="-120" windowWidth="29040" windowHeight="15840" tabRatio="915" xr2:uid="{00000000-000D-0000-FFFF-FFFF00000000}"/>
  </bookViews>
  <sheets>
    <sheet name="Verlofoverzicht" sheetId="13" r:id="rId1"/>
    <sheet name="Afspraken" sheetId="14" r:id="rId2"/>
    <sheet name="Periode 1" sheetId="1" r:id="rId3"/>
    <sheet name="Periode 2" sheetId="2" r:id="rId4"/>
    <sheet name="Periode 3" sheetId="3" r:id="rId5"/>
    <sheet name="Periode 4" sheetId="4" r:id="rId6"/>
    <sheet name="Periode 5" sheetId="5" r:id="rId7"/>
    <sheet name="Periode 6" sheetId="6" r:id="rId8"/>
    <sheet name="Periode 7" sheetId="7" r:id="rId9"/>
    <sheet name="Periode 8" sheetId="8" r:id="rId10"/>
    <sheet name="Periode 9" sheetId="9" r:id="rId11"/>
    <sheet name="Periode 10" sheetId="10" r:id="rId12"/>
    <sheet name="Periode 11" sheetId="11" r:id="rId13"/>
    <sheet name="Periode 12" sheetId="12"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46" i="13" l="1"/>
  <c r="N44" i="13"/>
  <c r="D42" i="12"/>
  <c r="E42" i="12"/>
  <c r="F42" i="12"/>
  <c r="G42" i="12"/>
  <c r="H42" i="12"/>
  <c r="G4" i="12"/>
  <c r="B10" i="12" s="1"/>
  <c r="C4" i="12"/>
  <c r="D42" i="11"/>
  <c r="E42" i="11"/>
  <c r="F42" i="11"/>
  <c r="G42" i="11"/>
  <c r="H42" i="11"/>
  <c r="G4" i="11"/>
  <c r="B10" i="11" s="1"/>
  <c r="C4" i="11"/>
  <c r="D42" i="10"/>
  <c r="E42" i="10"/>
  <c r="F42" i="10"/>
  <c r="G42" i="10"/>
  <c r="H42" i="10"/>
  <c r="G4" i="10"/>
  <c r="B10" i="10" s="1"/>
  <c r="C4" i="10"/>
  <c r="C4" i="9"/>
  <c r="G4" i="9"/>
  <c r="B10" i="9" s="1"/>
  <c r="D42" i="9"/>
  <c r="E42" i="9"/>
  <c r="F42" i="9"/>
  <c r="G42" i="9"/>
  <c r="H42" i="9"/>
  <c r="E42" i="8"/>
  <c r="F42" i="8"/>
  <c r="G42" i="8"/>
  <c r="H42" i="8"/>
  <c r="G4" i="8"/>
  <c r="B10" i="8" s="1"/>
  <c r="C4" i="8"/>
  <c r="E42" i="7"/>
  <c r="F42" i="7"/>
  <c r="G42" i="7"/>
  <c r="H42" i="7"/>
  <c r="G4" i="7"/>
  <c r="B10" i="7" s="1"/>
  <c r="C4" i="7"/>
  <c r="D42" i="6"/>
  <c r="E42" i="6"/>
  <c r="F42" i="6"/>
  <c r="G42" i="6"/>
  <c r="H42" i="6"/>
  <c r="G4" i="6"/>
  <c r="B10" i="6" s="1"/>
  <c r="C4" i="6"/>
  <c r="D42" i="5"/>
  <c r="E42" i="5"/>
  <c r="F42" i="5"/>
  <c r="G42" i="5"/>
  <c r="H42" i="5"/>
  <c r="G4" i="5"/>
  <c r="B10" i="5" s="1"/>
  <c r="C4" i="5"/>
  <c r="D42" i="4"/>
  <c r="E42" i="4"/>
  <c r="F42" i="4"/>
  <c r="G42" i="4"/>
  <c r="H42" i="4"/>
  <c r="G4" i="4"/>
  <c r="B10" i="4" s="1"/>
  <c r="C4" i="4"/>
  <c r="E42" i="3"/>
  <c r="F42" i="3"/>
  <c r="G42" i="3"/>
  <c r="H42" i="3"/>
  <c r="G4" i="3"/>
  <c r="B10" i="3" s="1"/>
  <c r="C4" i="3"/>
  <c r="H42" i="2"/>
  <c r="G42" i="2"/>
  <c r="F42" i="2"/>
  <c r="E42" i="2"/>
  <c r="D42" i="2"/>
  <c r="C4" i="1"/>
  <c r="G4" i="1"/>
  <c r="B10" i="1"/>
  <c r="B11" i="1" s="1"/>
  <c r="G4" i="2"/>
  <c r="B10" i="2" s="1"/>
  <c r="C4" i="2"/>
  <c r="G5" i="14"/>
  <c r="G6" i="14"/>
  <c r="G7" i="14"/>
  <c r="G8" i="14"/>
  <c r="G4" i="14"/>
  <c r="H29" i="13"/>
  <c r="D42" i="1"/>
  <c r="E42" i="1"/>
  <c r="F42" i="1"/>
  <c r="G42" i="1"/>
  <c r="H42" i="1"/>
  <c r="B11" i="12" l="1"/>
  <c r="C10" i="12"/>
  <c r="B11" i="11"/>
  <c r="C10" i="11"/>
  <c r="C10" i="10"/>
  <c r="B11" i="10"/>
  <c r="C10" i="9"/>
  <c r="B11" i="9"/>
  <c r="B11" i="8"/>
  <c r="C10" i="8"/>
  <c r="C10" i="7"/>
  <c r="B11" i="7"/>
  <c r="B11" i="6"/>
  <c r="C10" i="6"/>
  <c r="B11" i="5"/>
  <c r="C10" i="5"/>
  <c r="B11" i="4"/>
  <c r="C10" i="4"/>
  <c r="C10" i="3"/>
  <c r="B11" i="3"/>
  <c r="C11" i="1"/>
  <c r="B12" i="1"/>
  <c r="C10" i="1"/>
  <c r="C10" i="2"/>
  <c r="B11" i="2"/>
  <c r="B12" i="12" l="1"/>
  <c r="C11" i="12"/>
  <c r="B12" i="11"/>
  <c r="C11" i="11"/>
  <c r="B12" i="10"/>
  <c r="C11" i="10"/>
  <c r="C11" i="9"/>
  <c r="B12" i="9"/>
  <c r="B12" i="8"/>
  <c r="C11" i="8"/>
  <c r="B12" i="7"/>
  <c r="C11" i="7"/>
  <c r="B12" i="6"/>
  <c r="C11" i="6"/>
  <c r="B12" i="5"/>
  <c r="C11" i="5"/>
  <c r="B12" i="4"/>
  <c r="C11" i="4"/>
  <c r="B12" i="3"/>
  <c r="C11" i="3"/>
  <c r="C12" i="1"/>
  <c r="B13" i="1"/>
  <c r="B12" i="2"/>
  <c r="C11" i="2"/>
  <c r="C12" i="12" l="1"/>
  <c r="B13" i="12"/>
  <c r="C12" i="11"/>
  <c r="B13" i="11"/>
  <c r="C12" i="10"/>
  <c r="B13" i="10"/>
  <c r="B13" i="9"/>
  <c r="C12" i="9"/>
  <c r="C12" i="8"/>
  <c r="B13" i="8"/>
  <c r="C12" i="7"/>
  <c r="B13" i="7"/>
  <c r="C12" i="6"/>
  <c r="B13" i="6"/>
  <c r="C12" i="5"/>
  <c r="B13" i="5"/>
  <c r="C12" i="4"/>
  <c r="B13" i="4"/>
  <c r="B13" i="3"/>
  <c r="C12" i="3"/>
  <c r="B14" i="1"/>
  <c r="C13" i="1"/>
  <c r="C12" i="2"/>
  <c r="B13" i="2"/>
  <c r="B14" i="12" l="1"/>
  <c r="C13" i="12"/>
  <c r="B14" i="11"/>
  <c r="C13" i="11"/>
  <c r="B14" i="10"/>
  <c r="C13" i="10"/>
  <c r="C13" i="9"/>
  <c r="B14" i="9"/>
  <c r="B14" i="8"/>
  <c r="C13" i="8"/>
  <c r="B14" i="7"/>
  <c r="C13" i="7"/>
  <c r="C13" i="6"/>
  <c r="B14" i="6"/>
  <c r="B14" i="5"/>
  <c r="C13" i="5"/>
  <c r="B14" i="4"/>
  <c r="C13" i="4"/>
  <c r="C13" i="3"/>
  <c r="B14" i="3"/>
  <c r="B15" i="1"/>
  <c r="C14" i="1"/>
  <c r="B14" i="2"/>
  <c r="C13" i="2"/>
  <c r="B15" i="12" l="1"/>
  <c r="C14" i="12"/>
  <c r="B15" i="11"/>
  <c r="C14" i="11"/>
  <c r="C14" i="10"/>
  <c r="B15" i="10"/>
  <c r="B15" i="9"/>
  <c r="C14" i="9"/>
  <c r="B15" i="8"/>
  <c r="C14" i="8"/>
  <c r="C14" i="7"/>
  <c r="B15" i="7"/>
  <c r="B15" i="6"/>
  <c r="C14" i="6"/>
  <c r="B15" i="5"/>
  <c r="C14" i="5"/>
  <c r="B15" i="4"/>
  <c r="C14" i="4"/>
  <c r="B15" i="3"/>
  <c r="C14" i="3"/>
  <c r="C15" i="1"/>
  <c r="B16" i="1"/>
  <c r="C14" i="2"/>
  <c r="B15" i="2"/>
  <c r="B16" i="12" l="1"/>
  <c r="C15" i="12"/>
  <c r="B16" i="11"/>
  <c r="C15" i="11"/>
  <c r="B16" i="10"/>
  <c r="C15" i="10"/>
  <c r="C15" i="9"/>
  <c r="B16" i="9"/>
  <c r="B16" i="8"/>
  <c r="C15" i="8"/>
  <c r="B16" i="7"/>
  <c r="C15" i="7"/>
  <c r="B16" i="6"/>
  <c r="C15" i="6"/>
  <c r="B16" i="5"/>
  <c r="C15" i="5"/>
  <c r="B16" i="4"/>
  <c r="C15" i="4"/>
  <c r="B16" i="3"/>
  <c r="C15" i="3"/>
  <c r="C16" i="1"/>
  <c r="B17" i="1"/>
  <c r="B16" i="2"/>
  <c r="C15" i="2"/>
  <c r="C16" i="12" l="1"/>
  <c r="B17" i="12"/>
  <c r="C16" i="11"/>
  <c r="B17" i="11"/>
  <c r="C16" i="10"/>
  <c r="B17" i="10"/>
  <c r="B17" i="9"/>
  <c r="C16" i="9"/>
  <c r="C16" i="8"/>
  <c r="B17" i="8"/>
  <c r="C16" i="7"/>
  <c r="B17" i="7"/>
  <c r="C16" i="6"/>
  <c r="B17" i="6"/>
  <c r="C16" i="5"/>
  <c r="B17" i="5"/>
  <c r="C16" i="4"/>
  <c r="B17" i="4"/>
  <c r="B17" i="3"/>
  <c r="C16" i="3"/>
  <c r="B18" i="1"/>
  <c r="C17" i="1"/>
  <c r="C16" i="2"/>
  <c r="B17" i="2"/>
  <c r="B18" i="12" l="1"/>
  <c r="C17" i="12"/>
  <c r="C17" i="11"/>
  <c r="B18" i="11"/>
  <c r="B18" i="10"/>
  <c r="C17" i="10"/>
  <c r="C17" i="9"/>
  <c r="B18" i="9"/>
  <c r="B18" i="8"/>
  <c r="C17" i="8"/>
  <c r="B18" i="7"/>
  <c r="C17" i="7"/>
  <c r="B18" i="6"/>
  <c r="C17" i="6"/>
  <c r="C17" i="5"/>
  <c r="B18" i="5"/>
  <c r="B18" i="4"/>
  <c r="C17" i="4"/>
  <c r="C17" i="3"/>
  <c r="B18" i="3"/>
  <c r="B19" i="1"/>
  <c r="C18" i="1"/>
  <c r="C17" i="2"/>
  <c r="B18" i="2"/>
  <c r="B19" i="12" l="1"/>
  <c r="C18" i="12"/>
  <c r="B19" i="11"/>
  <c r="C18" i="11"/>
  <c r="B19" i="10"/>
  <c r="C18" i="10"/>
  <c r="B19" i="9"/>
  <c r="C18" i="9"/>
  <c r="C18" i="8"/>
  <c r="B19" i="8"/>
  <c r="B19" i="7"/>
  <c r="C18" i="7"/>
  <c r="B19" i="6"/>
  <c r="C18" i="6"/>
  <c r="B19" i="5"/>
  <c r="C18" i="5"/>
  <c r="B19" i="4"/>
  <c r="C18" i="4"/>
  <c r="C18" i="3"/>
  <c r="B19" i="3"/>
  <c r="C19" i="1"/>
  <c r="B20" i="1"/>
  <c r="B19" i="2"/>
  <c r="C18" i="2"/>
  <c r="B20" i="12" l="1"/>
  <c r="C19" i="12"/>
  <c r="B20" i="11"/>
  <c r="C19" i="11"/>
  <c r="B20" i="10"/>
  <c r="C19" i="10"/>
  <c r="C19" i="9"/>
  <c r="B20" i="9"/>
  <c r="B20" i="8"/>
  <c r="C19" i="8"/>
  <c r="B20" i="7"/>
  <c r="C19" i="7"/>
  <c r="B20" i="6"/>
  <c r="C19" i="6"/>
  <c r="B20" i="5"/>
  <c r="C19" i="5"/>
  <c r="B20" i="4"/>
  <c r="C19" i="4"/>
  <c r="B20" i="3"/>
  <c r="C19" i="3"/>
  <c r="C20" i="1"/>
  <c r="B21" i="1"/>
  <c r="B20" i="2"/>
  <c r="C19" i="2"/>
  <c r="C20" i="12" l="1"/>
  <c r="B21" i="12"/>
  <c r="C20" i="11"/>
  <c r="B21" i="11"/>
  <c r="C20" i="10"/>
  <c r="B21" i="10"/>
  <c r="B21" i="9"/>
  <c r="C20" i="9"/>
  <c r="C20" i="8"/>
  <c r="B21" i="8"/>
  <c r="B21" i="7"/>
  <c r="C20" i="7"/>
  <c r="C20" i="6"/>
  <c r="B21" i="6"/>
  <c r="C20" i="5"/>
  <c r="B21" i="5"/>
  <c r="C20" i="4"/>
  <c r="B21" i="4"/>
  <c r="C20" i="3"/>
  <c r="B21" i="3"/>
  <c r="B22" i="1"/>
  <c r="C21" i="1"/>
  <c r="C20" i="2"/>
  <c r="B21" i="2"/>
  <c r="B22" i="12" l="1"/>
  <c r="C21" i="12"/>
  <c r="C21" i="11"/>
  <c r="B22" i="11"/>
  <c r="C21" i="10"/>
  <c r="B22" i="10"/>
  <c r="C21" i="9"/>
  <c r="B22" i="9"/>
  <c r="B22" i="8"/>
  <c r="C21" i="8"/>
  <c r="B22" i="7"/>
  <c r="C21" i="7"/>
  <c r="C21" i="6"/>
  <c r="B22" i="6"/>
  <c r="C21" i="5"/>
  <c r="B22" i="5"/>
  <c r="B22" i="4"/>
  <c r="C21" i="4"/>
  <c r="B22" i="3"/>
  <c r="C21" i="3"/>
  <c r="B23" i="1"/>
  <c r="C22" i="1"/>
  <c r="C21" i="2"/>
  <c r="B22" i="2"/>
  <c r="B23" i="12" l="1"/>
  <c r="C22" i="12"/>
  <c r="B23" i="11"/>
  <c r="C22" i="11"/>
  <c r="C22" i="10"/>
  <c r="B23" i="10"/>
  <c r="C22" i="9"/>
  <c r="B23" i="9"/>
  <c r="B23" i="8"/>
  <c r="C22" i="8"/>
  <c r="C22" i="7"/>
  <c r="B23" i="7"/>
  <c r="B23" i="6"/>
  <c r="C22" i="6"/>
  <c r="B23" i="5"/>
  <c r="C22" i="5"/>
  <c r="B23" i="4"/>
  <c r="C22" i="4"/>
  <c r="C22" i="3"/>
  <c r="B23" i="3"/>
  <c r="C23" i="1"/>
  <c r="B24" i="1"/>
  <c r="C22" i="2"/>
  <c r="B23" i="2"/>
  <c r="B24" i="12" l="1"/>
  <c r="C23" i="12"/>
  <c r="B24" i="11"/>
  <c r="C23" i="11"/>
  <c r="B24" i="10"/>
  <c r="C23" i="10"/>
  <c r="C23" i="9"/>
  <c r="B24" i="9"/>
  <c r="B24" i="8"/>
  <c r="C23" i="8"/>
  <c r="B24" i="7"/>
  <c r="C23" i="7"/>
  <c r="B24" i="6"/>
  <c r="C23" i="6"/>
  <c r="B24" i="5"/>
  <c r="C23" i="5"/>
  <c r="B24" i="4"/>
  <c r="C23" i="4"/>
  <c r="B24" i="3"/>
  <c r="C23" i="3"/>
  <c r="C24" i="1"/>
  <c r="B25" i="1"/>
  <c r="B24" i="2"/>
  <c r="C23" i="2"/>
  <c r="C24" i="12" l="1"/>
  <c r="B25" i="12"/>
  <c r="C24" i="11"/>
  <c r="B25" i="11"/>
  <c r="C24" i="10"/>
  <c r="B25" i="10"/>
  <c r="B25" i="9"/>
  <c r="C24" i="9"/>
  <c r="C24" i="8"/>
  <c r="B25" i="8"/>
  <c r="B25" i="7"/>
  <c r="C24" i="7"/>
  <c r="C24" i="6"/>
  <c r="B25" i="6"/>
  <c r="C24" i="5"/>
  <c r="B25" i="5"/>
  <c r="C24" i="4"/>
  <c r="B25" i="4"/>
  <c r="B25" i="3"/>
  <c r="C24" i="3"/>
  <c r="B26" i="1"/>
  <c r="C25" i="1"/>
  <c r="C24" i="2"/>
  <c r="B25" i="2"/>
  <c r="B26" i="12" l="1"/>
  <c r="C25" i="12"/>
  <c r="C25" i="11"/>
  <c r="B26" i="11"/>
  <c r="B26" i="10"/>
  <c r="C25" i="10"/>
  <c r="C25" i="9"/>
  <c r="B26" i="9"/>
  <c r="B26" i="8"/>
  <c r="C25" i="8"/>
  <c r="B26" i="7"/>
  <c r="C25" i="7"/>
  <c r="C25" i="6"/>
  <c r="B26" i="6"/>
  <c r="C25" i="5"/>
  <c r="B26" i="5"/>
  <c r="B26" i="4"/>
  <c r="C25" i="4"/>
  <c r="C25" i="3"/>
  <c r="B26" i="3"/>
  <c r="B27" i="1"/>
  <c r="C26" i="1"/>
  <c r="C25" i="2"/>
  <c r="B26" i="2"/>
  <c r="C26" i="12" l="1"/>
  <c r="B27" i="12"/>
  <c r="B27" i="11"/>
  <c r="C26" i="11"/>
  <c r="C26" i="10"/>
  <c r="B27" i="10"/>
  <c r="B27" i="9"/>
  <c r="C26" i="9"/>
  <c r="B27" i="8"/>
  <c r="C26" i="8"/>
  <c r="C26" i="7"/>
  <c r="B27" i="7"/>
  <c r="B27" i="6"/>
  <c r="C26" i="6"/>
  <c r="B27" i="5"/>
  <c r="C26" i="5"/>
  <c r="B27" i="4"/>
  <c r="C26" i="4"/>
  <c r="B27" i="3"/>
  <c r="C26" i="3"/>
  <c r="C27" i="1"/>
  <c r="B28" i="1"/>
  <c r="C26" i="2"/>
  <c r="B27" i="2"/>
  <c r="B28" i="12" l="1"/>
  <c r="C27" i="12"/>
  <c r="B28" i="11"/>
  <c r="C27" i="11"/>
  <c r="B28" i="10"/>
  <c r="C27" i="10"/>
  <c r="C27" i="9"/>
  <c r="B28" i="9"/>
  <c r="B28" i="8"/>
  <c r="C27" i="8"/>
  <c r="B28" i="7"/>
  <c r="C27" i="7"/>
  <c r="B28" i="6"/>
  <c r="C27" i="6"/>
  <c r="B28" i="5"/>
  <c r="C27" i="5"/>
  <c r="B28" i="4"/>
  <c r="C27" i="4"/>
  <c r="B28" i="3"/>
  <c r="C27" i="3"/>
  <c r="C28" i="1"/>
  <c r="B29" i="1"/>
  <c r="B28" i="2"/>
  <c r="C27" i="2"/>
  <c r="C28" i="12" l="1"/>
  <c r="B29" i="12"/>
  <c r="C28" i="11"/>
  <c r="B29" i="11"/>
  <c r="C28" i="10"/>
  <c r="B29" i="10"/>
  <c r="B29" i="9"/>
  <c r="C28" i="9"/>
  <c r="C28" i="8"/>
  <c r="B29" i="8"/>
  <c r="C28" i="7"/>
  <c r="B29" i="7"/>
  <c r="C28" i="6"/>
  <c r="B29" i="6"/>
  <c r="C28" i="5"/>
  <c r="B29" i="5"/>
  <c r="C28" i="4"/>
  <c r="B29" i="4"/>
  <c r="B29" i="3"/>
  <c r="C28" i="3"/>
  <c r="B30" i="1"/>
  <c r="C29" i="1"/>
  <c r="C28" i="2"/>
  <c r="B29" i="2"/>
  <c r="B30" i="12" l="1"/>
  <c r="C29" i="12"/>
  <c r="C29" i="11"/>
  <c r="B30" i="11"/>
  <c r="B30" i="10"/>
  <c r="C29" i="10"/>
  <c r="C29" i="9"/>
  <c r="B30" i="9"/>
  <c r="B30" i="8"/>
  <c r="C29" i="8"/>
  <c r="B30" i="7"/>
  <c r="C29" i="7"/>
  <c r="C29" i="6"/>
  <c r="B30" i="6"/>
  <c r="C29" i="5"/>
  <c r="B30" i="5"/>
  <c r="B30" i="4"/>
  <c r="C29" i="4"/>
  <c r="B30" i="3"/>
  <c r="C29" i="3"/>
  <c r="B31" i="1"/>
  <c r="C30" i="1"/>
  <c r="B30" i="2"/>
  <c r="C29" i="2"/>
  <c r="N33" i="13"/>
  <c r="E45" i="13"/>
  <c r="J3" i="14"/>
  <c r="J16" i="14"/>
  <c r="J17" i="14"/>
  <c r="J18" i="14"/>
  <c r="J19" i="14"/>
  <c r="J20" i="14"/>
  <c r="J15" i="14"/>
  <c r="J7" i="14"/>
  <c r="J8" i="14"/>
  <c r="J9" i="14"/>
  <c r="J10" i="14"/>
  <c r="J11" i="14"/>
  <c r="J6" i="14"/>
  <c r="E27" i="13"/>
  <c r="J11" i="13"/>
  <c r="B31" i="12" l="1"/>
  <c r="C30" i="12"/>
  <c r="B31" i="11"/>
  <c r="C30" i="11"/>
  <c r="B31" i="10"/>
  <c r="C30" i="10"/>
  <c r="C30" i="9"/>
  <c r="B31" i="9"/>
  <c r="B31" i="8"/>
  <c r="C30" i="8"/>
  <c r="B31" i="7"/>
  <c r="C30" i="7"/>
  <c r="B31" i="6"/>
  <c r="C30" i="6"/>
  <c r="B31" i="5"/>
  <c r="C30" i="5"/>
  <c r="B31" i="4"/>
  <c r="C30" i="4"/>
  <c r="C30" i="3"/>
  <c r="B31" i="3"/>
  <c r="C31" i="1"/>
  <c r="B32" i="1"/>
  <c r="B31" i="2"/>
  <c r="C30" i="2"/>
  <c r="J12" i="14"/>
  <c r="E29" i="13" s="1" a="1"/>
  <c r="E29" i="13" s="1"/>
  <c r="B30" i="13"/>
  <c r="B29" i="13"/>
  <c r="M9" i="13"/>
  <c r="B7" i="13"/>
  <c r="B4" i="13"/>
  <c r="B32" i="12" l="1"/>
  <c r="C31" i="12"/>
  <c r="B32" i="11"/>
  <c r="C31" i="11"/>
  <c r="B32" i="10"/>
  <c r="C31" i="10"/>
  <c r="C31" i="9"/>
  <c r="B32" i="9"/>
  <c r="B32" i="8"/>
  <c r="C31" i="8"/>
  <c r="B32" i="7"/>
  <c r="C31" i="7"/>
  <c r="B32" i="6"/>
  <c r="C31" i="6"/>
  <c r="B32" i="5"/>
  <c r="C31" i="5"/>
  <c r="B32" i="4"/>
  <c r="C31" i="4"/>
  <c r="B32" i="3"/>
  <c r="C31" i="3"/>
  <c r="C32" i="1"/>
  <c r="B33" i="1"/>
  <c r="B32" i="2"/>
  <c r="C31" i="2"/>
  <c r="E11" i="13"/>
  <c r="M11" i="13" s="1"/>
  <c r="C32" i="12" l="1"/>
  <c r="B33" i="12"/>
  <c r="C32" i="11"/>
  <c r="B33" i="11"/>
  <c r="C32" i="10"/>
  <c r="B33" i="10"/>
  <c r="B33" i="9"/>
  <c r="C32" i="9"/>
  <c r="C32" i="8"/>
  <c r="B33" i="8"/>
  <c r="C32" i="7"/>
  <c r="B33" i="7"/>
  <c r="C32" i="6"/>
  <c r="B33" i="6"/>
  <c r="C32" i="5"/>
  <c r="B33" i="5"/>
  <c r="C32" i="4"/>
  <c r="B33" i="4"/>
  <c r="C32" i="3"/>
  <c r="B33" i="3"/>
  <c r="B34" i="1"/>
  <c r="C33" i="1"/>
  <c r="C32" i="2"/>
  <c r="B33" i="2"/>
  <c r="L35" i="13"/>
  <c r="L36" i="13"/>
  <c r="L42" i="13"/>
  <c r="L43" i="13"/>
  <c r="L44" i="13"/>
  <c r="B34" i="12" l="1"/>
  <c r="C33" i="12"/>
  <c r="C33" i="11"/>
  <c r="B34" i="11"/>
  <c r="B34" i="10"/>
  <c r="C33" i="10"/>
  <c r="C33" i="9"/>
  <c r="B34" i="9"/>
  <c r="B34" i="8"/>
  <c r="C33" i="8"/>
  <c r="B34" i="7"/>
  <c r="C33" i="7"/>
  <c r="C33" i="6"/>
  <c r="B34" i="6"/>
  <c r="C33" i="5"/>
  <c r="B34" i="5"/>
  <c r="B34" i="4"/>
  <c r="C33" i="4"/>
  <c r="C33" i="3"/>
  <c r="B34" i="3"/>
  <c r="B35" i="1"/>
  <c r="C34" i="1"/>
  <c r="C33" i="2"/>
  <c r="B34" i="2"/>
  <c r="G34" i="13"/>
  <c r="K43" i="13"/>
  <c r="J37" i="14" s="1"/>
  <c r="O37" i="14" s="1"/>
  <c r="K40" i="13"/>
  <c r="J34" i="14" s="1"/>
  <c r="M34" i="14" s="1"/>
  <c r="B35" i="12" l="1"/>
  <c r="C34" i="12"/>
  <c r="B35" i="11"/>
  <c r="C34" i="11"/>
  <c r="C34" i="10"/>
  <c r="B35" i="10"/>
  <c r="B35" i="9"/>
  <c r="C34" i="9"/>
  <c r="C34" i="8"/>
  <c r="B35" i="8"/>
  <c r="C34" i="7"/>
  <c r="B35" i="7"/>
  <c r="B35" i="6"/>
  <c r="C34" i="6"/>
  <c r="B35" i="5"/>
  <c r="C34" i="5"/>
  <c r="B35" i="4"/>
  <c r="C34" i="4"/>
  <c r="B35" i="3"/>
  <c r="C34" i="3"/>
  <c r="C35" i="1"/>
  <c r="B36" i="1"/>
  <c r="C34" i="2"/>
  <c r="B35" i="2"/>
  <c r="K37" i="13"/>
  <c r="J31" i="14" s="1"/>
  <c r="O31" i="14" s="1"/>
  <c r="P34" i="14"/>
  <c r="K37" i="14"/>
  <c r="L37" i="14"/>
  <c r="T37" i="14"/>
  <c r="O34" i="14"/>
  <c r="T34" i="14"/>
  <c r="R34" i="14"/>
  <c r="Q34" i="14"/>
  <c r="M37" i="14"/>
  <c r="S37" i="14"/>
  <c r="N37" i="14"/>
  <c r="N34" i="14"/>
  <c r="R37" i="14"/>
  <c r="Q37" i="14"/>
  <c r="K34" i="14"/>
  <c r="L34" i="14"/>
  <c r="P37" i="14"/>
  <c r="S34" i="14"/>
  <c r="K41" i="13"/>
  <c r="J35" i="14" s="1"/>
  <c r="K35" i="14" s="1"/>
  <c r="L35" i="14" s="1"/>
  <c r="M35" i="14" s="1"/>
  <c r="N35" i="14" s="1"/>
  <c r="K38" i="13"/>
  <c r="J32" i="14" s="1"/>
  <c r="K45" i="13"/>
  <c r="J39" i="14" s="1"/>
  <c r="K39" i="13"/>
  <c r="J33" i="14" s="1"/>
  <c r="K44" i="13"/>
  <c r="J38" i="14" s="1"/>
  <c r="K42" i="13"/>
  <c r="J36" i="14" s="1"/>
  <c r="K36" i="13"/>
  <c r="J30" i="14" s="1"/>
  <c r="K35" i="13"/>
  <c r="J29" i="14" s="1"/>
  <c r="B1" i="14"/>
  <c r="B36" i="12" l="1"/>
  <c r="C35" i="12"/>
  <c r="B36" i="11"/>
  <c r="C35" i="11"/>
  <c r="B36" i="10"/>
  <c r="C35" i="10"/>
  <c r="C35" i="9"/>
  <c r="B36" i="9"/>
  <c r="B36" i="8"/>
  <c r="C35" i="8"/>
  <c r="B36" i="7"/>
  <c r="C35" i="7"/>
  <c r="B36" i="6"/>
  <c r="C35" i="6"/>
  <c r="B36" i="5"/>
  <c r="C35" i="5"/>
  <c r="B36" i="4"/>
  <c r="C35" i="4"/>
  <c r="B36" i="3"/>
  <c r="C35" i="3"/>
  <c r="C36" i="1"/>
  <c r="B37" i="1"/>
  <c r="B36" i="2"/>
  <c r="C35" i="2"/>
  <c r="S31" i="14"/>
  <c r="P31" i="14"/>
  <c r="N31" i="14"/>
  <c r="M31" i="14"/>
  <c r="R31" i="14"/>
  <c r="K31" i="14"/>
  <c r="L31" i="14" s="1"/>
  <c r="T31" i="14"/>
  <c r="Q31" i="14"/>
  <c r="U34" i="14"/>
  <c r="L40" i="13" s="1"/>
  <c r="U37" i="14"/>
  <c r="R30" i="14"/>
  <c r="S30" i="14"/>
  <c r="T30" i="14"/>
  <c r="K30" i="14"/>
  <c r="L30" i="14" s="1"/>
  <c r="M30" i="14" s="1"/>
  <c r="N30" i="14" s="1"/>
  <c r="O30" i="14" s="1"/>
  <c r="P30" i="14" s="1"/>
  <c r="Q30" i="14" s="1"/>
  <c r="Q36" i="14"/>
  <c r="R36" i="14"/>
  <c r="P36" i="14"/>
  <c r="S36" i="14"/>
  <c r="L36" i="14"/>
  <c r="T36" i="14"/>
  <c r="K36" i="14"/>
  <c r="N36" i="14"/>
  <c r="M36" i="14"/>
  <c r="O36" i="14"/>
  <c r="O35" i="14"/>
  <c r="M38" i="14"/>
  <c r="T38" i="14"/>
  <c r="N38" i="14"/>
  <c r="O38" i="14"/>
  <c r="P38" i="14"/>
  <c r="Q38" i="14"/>
  <c r="R38" i="14"/>
  <c r="L38" i="14"/>
  <c r="K38" i="14"/>
  <c r="S38" i="14"/>
  <c r="T33" i="14"/>
  <c r="O33" i="14"/>
  <c r="S33" i="14"/>
  <c r="P33" i="14"/>
  <c r="Q33" i="14"/>
  <c r="K33" i="14"/>
  <c r="L33" i="14" s="1"/>
  <c r="M33" i="14" s="1"/>
  <c r="N33" i="14" s="1"/>
  <c r="R33" i="14"/>
  <c r="S32" i="14"/>
  <c r="N32" i="14"/>
  <c r="P32" i="14"/>
  <c r="O32" i="14"/>
  <c r="Q32" i="14"/>
  <c r="R32" i="14"/>
  <c r="K32" i="14"/>
  <c r="L32" i="14" s="1"/>
  <c r="M32" i="14" s="1"/>
  <c r="T32" i="14"/>
  <c r="K39" i="14"/>
  <c r="L39" i="14" s="1"/>
  <c r="M39" i="14" s="1"/>
  <c r="N39" i="14" s="1"/>
  <c r="O39" i="14" s="1"/>
  <c r="P39" i="14" s="1"/>
  <c r="Q39" i="14" s="1"/>
  <c r="R39" i="14" s="1"/>
  <c r="S39" i="14" s="1"/>
  <c r="T39" i="14" s="1"/>
  <c r="K29" i="14"/>
  <c r="G9" i="14"/>
  <c r="M42" i="13"/>
  <c r="M36" i="13"/>
  <c r="M35" i="13"/>
  <c r="G22" i="13"/>
  <c r="G23" i="13"/>
  <c r="G24" i="13"/>
  <c r="G25" i="13"/>
  <c r="G35" i="13"/>
  <c r="G36" i="13"/>
  <c r="G37" i="13"/>
  <c r="G38" i="13"/>
  <c r="G39" i="13"/>
  <c r="G40" i="13"/>
  <c r="G41" i="13"/>
  <c r="G42" i="13"/>
  <c r="G43" i="13"/>
  <c r="G44" i="13"/>
  <c r="G45" i="13"/>
  <c r="G16" i="13"/>
  <c r="G17" i="13"/>
  <c r="G18" i="13"/>
  <c r="G19" i="13"/>
  <c r="G20" i="13"/>
  <c r="G21" i="13"/>
  <c r="G26" i="13"/>
  <c r="G15" i="13"/>
  <c r="E38" i="13"/>
  <c r="G46" i="13" l="1"/>
  <c r="C36" i="12"/>
  <c r="B37" i="12"/>
  <c r="M44" i="13"/>
  <c r="C36" i="11"/>
  <c r="B37" i="11"/>
  <c r="C36" i="10"/>
  <c r="B37" i="10"/>
  <c r="M43" i="13"/>
  <c r="N43" i="13" s="1"/>
  <c r="B37" i="9"/>
  <c r="C36" i="9"/>
  <c r="C36" i="8"/>
  <c r="B37" i="8"/>
  <c r="M40" i="13"/>
  <c r="B37" i="7"/>
  <c r="C36" i="7"/>
  <c r="C36" i="6"/>
  <c r="B37" i="6"/>
  <c r="C36" i="5"/>
  <c r="B37" i="5"/>
  <c r="U31" i="14"/>
  <c r="L37" i="13" s="1"/>
  <c r="M37" i="13" s="1"/>
  <c r="C36" i="4"/>
  <c r="B37" i="4"/>
  <c r="C36" i="3"/>
  <c r="B37" i="3"/>
  <c r="B39" i="1"/>
  <c r="C39" i="1" s="1"/>
  <c r="B40" i="1"/>
  <c r="C40" i="1" s="1"/>
  <c r="B38" i="1"/>
  <c r="C38" i="1" s="1"/>
  <c r="C37" i="1"/>
  <c r="C36" i="2"/>
  <c r="B37" i="2"/>
  <c r="U30" i="14"/>
  <c r="U36" i="14"/>
  <c r="E18" i="14"/>
  <c r="J21" i="14" s="1"/>
  <c r="P35" i="14"/>
  <c r="U38" i="14"/>
  <c r="U33" i="14"/>
  <c r="L39" i="13" s="1"/>
  <c r="M39" i="13" s="1"/>
  <c r="U32" i="14"/>
  <c r="L38" i="13" s="1"/>
  <c r="M38" i="13" s="1"/>
  <c r="U39" i="14"/>
  <c r="L45" i="13" s="1"/>
  <c r="M45" i="13" s="1"/>
  <c r="L29" i="14"/>
  <c r="M29" i="14" s="1"/>
  <c r="N29" i="14" s="1"/>
  <c r="O29" i="14" s="1"/>
  <c r="P29" i="14" s="1"/>
  <c r="Q29" i="14" s="1"/>
  <c r="R29" i="14" s="1"/>
  <c r="S29" i="14" s="1"/>
  <c r="T29" i="14" s="1"/>
  <c r="B40" i="12" l="1"/>
  <c r="C40" i="12" s="1"/>
  <c r="B39" i="12"/>
  <c r="C39" i="12" s="1"/>
  <c r="B38" i="12"/>
  <c r="C38" i="12" s="1"/>
  <c r="C37" i="12"/>
  <c r="B40" i="11"/>
  <c r="C40" i="11" s="1"/>
  <c r="B39" i="11"/>
  <c r="C39" i="11" s="1"/>
  <c r="B38" i="11"/>
  <c r="C38" i="11" s="1"/>
  <c r="C37" i="11"/>
  <c r="B38" i="10"/>
  <c r="C38" i="10" s="1"/>
  <c r="C37" i="10"/>
  <c r="B40" i="10"/>
  <c r="C40" i="10" s="1"/>
  <c r="B39" i="10"/>
  <c r="C39" i="10" s="1"/>
  <c r="C37" i="9"/>
  <c r="B38" i="9"/>
  <c r="C38" i="9" s="1"/>
  <c r="B39" i="9"/>
  <c r="C39" i="9" s="1"/>
  <c r="B40" i="9"/>
  <c r="C40" i="9" s="1"/>
  <c r="B40" i="8"/>
  <c r="C40" i="8" s="1"/>
  <c r="B39" i="8"/>
  <c r="C39" i="8" s="1"/>
  <c r="B38" i="8"/>
  <c r="C38" i="8" s="1"/>
  <c r="C37" i="8"/>
  <c r="B40" i="7"/>
  <c r="C40" i="7" s="1"/>
  <c r="B39" i="7"/>
  <c r="C39" i="7" s="1"/>
  <c r="B38" i="7"/>
  <c r="C38" i="7" s="1"/>
  <c r="C37" i="7"/>
  <c r="B40" i="6"/>
  <c r="C40" i="6" s="1"/>
  <c r="C37" i="6"/>
  <c r="B39" i="6"/>
  <c r="C39" i="6" s="1"/>
  <c r="B38" i="6"/>
  <c r="C38" i="6" s="1"/>
  <c r="B40" i="5"/>
  <c r="C40" i="5" s="1"/>
  <c r="B39" i="5"/>
  <c r="C39" i="5" s="1"/>
  <c r="B38" i="5"/>
  <c r="C38" i="5" s="1"/>
  <c r="C37" i="5"/>
  <c r="B40" i="4"/>
  <c r="C40" i="4" s="1"/>
  <c r="B39" i="4"/>
  <c r="C39" i="4" s="1"/>
  <c r="B38" i="4"/>
  <c r="C38" i="4" s="1"/>
  <c r="C37" i="4"/>
  <c r="B39" i="3"/>
  <c r="C39" i="3" s="1"/>
  <c r="B40" i="3"/>
  <c r="C40" i="3" s="1"/>
  <c r="C37" i="3"/>
  <c r="B38" i="3"/>
  <c r="C38" i="3" s="1"/>
  <c r="B40" i="2"/>
  <c r="C40" i="2" s="1"/>
  <c r="C37" i="2"/>
  <c r="B39" i="2"/>
  <c r="C39" i="2" s="1"/>
  <c r="B38" i="2"/>
  <c r="C38" i="2" s="1"/>
  <c r="J22" i="14"/>
  <c r="E30" i="13" s="1"/>
  <c r="Q35" i="14"/>
  <c r="U29" i="14"/>
  <c r="C42" i="2" l="1"/>
  <c r="D35" i="13" s="1"/>
  <c r="I35" i="13" s="1"/>
  <c r="C42" i="4"/>
  <c r="D37" i="13" s="1"/>
  <c r="I37" i="13" s="1"/>
  <c r="C42" i="12"/>
  <c r="D45" i="13" s="1"/>
  <c r="I45" i="13" s="1"/>
  <c r="N45" i="13" s="1"/>
  <c r="C42" i="11"/>
  <c r="D44" i="13" s="1"/>
  <c r="I44" i="13" s="1"/>
  <c r="C42" i="10"/>
  <c r="D43" i="13" s="1"/>
  <c r="I43" i="13" s="1"/>
  <c r="C42" i="9"/>
  <c r="D42" i="13" s="1"/>
  <c r="I42" i="13" s="1"/>
  <c r="C42" i="8"/>
  <c r="D41" i="13" s="1"/>
  <c r="I41" i="13" s="1"/>
  <c r="C42" i="7"/>
  <c r="D40" i="13" s="1"/>
  <c r="I40" i="13" s="1"/>
  <c r="C42" i="6"/>
  <c r="D39" i="13" s="1"/>
  <c r="I39" i="13" s="1"/>
  <c r="C42" i="5"/>
  <c r="D38" i="13" s="1"/>
  <c r="I38" i="13" s="1"/>
  <c r="C42" i="3"/>
  <c r="D36" i="13" s="1"/>
  <c r="I36" i="13" s="1"/>
  <c r="R35" i="14"/>
  <c r="K34" i="13"/>
  <c r="J28" i="14" s="1"/>
  <c r="S35" i="14" l="1"/>
  <c r="T28" i="14"/>
  <c r="S28" i="14"/>
  <c r="R28" i="14"/>
  <c r="Q28" i="14"/>
  <c r="K28" i="14"/>
  <c r="L28" i="14" s="1"/>
  <c r="M28" i="14" s="1"/>
  <c r="N28" i="14" s="1"/>
  <c r="O28" i="14" s="1"/>
  <c r="P28" i="14" s="1"/>
  <c r="T35" i="14" l="1"/>
  <c r="U35" i="14" l="1"/>
  <c r="L41" i="13" s="1"/>
  <c r="M41" i="13" s="1"/>
  <c r="U28" i="14"/>
  <c r="L34" i="13" s="1"/>
  <c r="R33" i="13"/>
  <c r="M34" i="13" l="1"/>
  <c r="C42" i="1" l="1"/>
  <c r="D34" i="13" s="1"/>
  <c r="I34" i="13" s="1"/>
  <c r="N34" i="13" s="1"/>
  <c r="N35" i="13" s="1"/>
  <c r="N36" i="13" s="1"/>
  <c r="N37" i="13" s="1"/>
  <c r="N38" i="13" s="1"/>
  <c r="N39" i="13" s="1"/>
  <c r="N40" i="13" s="1"/>
  <c r="N41" i="13" s="1"/>
  <c r="N42"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<sst xmlns="http://schemas.openxmlformats.org/spreadsheetml/2006/main" count="385" uniqueCount="116">
  <si>
    <t>Urenregistratie</t>
  </si>
  <si>
    <t>Naam :</t>
  </si>
  <si>
    <t>Periode :</t>
  </si>
  <si>
    <t>Jaar :</t>
  </si>
  <si>
    <t>Personeelsnr :</t>
  </si>
  <si>
    <t>Contracturen :</t>
  </si>
  <si>
    <t xml:space="preserve">Lokatie : </t>
  </si>
  <si>
    <t>SCHIJNDEL</t>
  </si>
  <si>
    <t>Datum</t>
  </si>
  <si>
    <t>Contracturen</t>
  </si>
  <si>
    <t>Gewerkt</t>
  </si>
  <si>
    <t>Ziek</t>
  </si>
  <si>
    <t>Verlof</t>
  </si>
  <si>
    <t>Maandag</t>
  </si>
  <si>
    <t>Dinsdag</t>
  </si>
  <si>
    <t>Woensdag</t>
  </si>
  <si>
    <t>Donderdag</t>
  </si>
  <si>
    <t>Vrijdag</t>
  </si>
  <si>
    <t>Totaal</t>
  </si>
  <si>
    <t>Maand</t>
  </si>
  <si>
    <t>te laat</t>
  </si>
  <si>
    <t>Juli</t>
  </si>
  <si>
    <t>Juni</t>
  </si>
  <si>
    <t>Mei</t>
  </si>
  <si>
    <t>April</t>
  </si>
  <si>
    <t>Maart</t>
  </si>
  <si>
    <t>Februari</t>
  </si>
  <si>
    <t>Januari</t>
  </si>
  <si>
    <t>Augustus</t>
  </si>
  <si>
    <t>September</t>
  </si>
  <si>
    <t>Oktober</t>
  </si>
  <si>
    <t>November</t>
  </si>
  <si>
    <t>December</t>
  </si>
  <si>
    <t>Saldo vorig jaar:</t>
  </si>
  <si>
    <t>Verlof komend jaar:</t>
  </si>
  <si>
    <t>uur</t>
  </si>
  <si>
    <t>Totaal verlof komend jaar:</t>
  </si>
  <si>
    <t>ADV dagen:</t>
  </si>
  <si>
    <t>Bedrijfssluiting:</t>
  </si>
  <si>
    <t>Bouwvak:</t>
  </si>
  <si>
    <t>Totaal bedrijfssluiting:</t>
  </si>
  <si>
    <t>Senioren dagen:</t>
  </si>
  <si>
    <t>Uren:</t>
  </si>
  <si>
    <t>Aangevraagd verlof:</t>
  </si>
  <si>
    <t>Contract</t>
  </si>
  <si>
    <t>Van:</t>
  </si>
  <si>
    <t>Tot:</t>
  </si>
  <si>
    <t>Te werken</t>
  </si>
  <si>
    <t>Maand:</t>
  </si>
  <si>
    <t>Omschrijving:</t>
  </si>
  <si>
    <t xml:space="preserve">Locatie: </t>
  </si>
  <si>
    <t>Gevraagd verlof</t>
  </si>
  <si>
    <t>Bedrijfssluiting</t>
  </si>
  <si>
    <t>Dag na hemelvaart:</t>
  </si>
  <si>
    <t>Verlof uren verloop:</t>
  </si>
  <si>
    <t>Werkelijk Vrij te besteden verlof</t>
  </si>
  <si>
    <t>Kerstvakantie:</t>
  </si>
  <si>
    <t>uren</t>
  </si>
  <si>
    <t>Afspraken van</t>
  </si>
  <si>
    <t>Tandarts / Dokter</t>
  </si>
  <si>
    <t>Werkweek</t>
  </si>
  <si>
    <t>Start</t>
  </si>
  <si>
    <t>Eind</t>
  </si>
  <si>
    <t>Pauze 1</t>
  </si>
  <si>
    <t>Pauze 2</t>
  </si>
  <si>
    <t>Pauze 3</t>
  </si>
  <si>
    <t>Totale werkweek</t>
  </si>
  <si>
    <t>Er mag maximaal 8 uur per jaar worden besteed aan bijzonder verlof, zoals tandarts en dokter. Indien een medewerker meer dan 8 uur besteed aan bijzonder verlof wordt dit aantal ingehouden van de vrij te besteden verlofuren van het op dat moment lopende jaar</t>
  </si>
  <si>
    <t>Aantal uren besteed aan bijzonder verlof:</t>
  </si>
  <si>
    <t xml:space="preserve">Indien een medewerker 2x in een maand te laat is geweest krijgt de medewerker een brief, met de consequenties voor de eerst volgende keer dat deze medewerker weer te laat is. In dat geval zullen er verlofuren van het op dat moment lopende jaar worden ingehouden. </t>
  </si>
  <si>
    <t>Indien een leidinggevende heeft gevraagd om over te werken, worden de overuren toegevoegd aan de vrij te besteden verlof uren van het op dat moment lopende jaar.</t>
  </si>
  <si>
    <t>Uren van het voorgaande jaar moeten voor 1 juli worden opgenomen. Indien deze niet vóór 1 juli zijn opgenomen worden deze uren kwijtgescholden. Indien het een erg groot aantal betreft wordt er een passende regeling getroffen en kan er contact worden gezocht met de leidinggevende.</t>
  </si>
  <si>
    <t>Extra gemaakte afspraken:</t>
  </si>
  <si>
    <t>ALLEEN 'x' invullen</t>
  </si>
  <si>
    <t># Te laat</t>
  </si>
  <si>
    <t>Nee</t>
  </si>
  <si>
    <t>Aantal uur inhouden van verlof:</t>
  </si>
  <si>
    <t>Correctie</t>
  </si>
  <si>
    <t>Consequenties:</t>
  </si>
  <si>
    <t>Startpunt:</t>
  </si>
  <si>
    <t>Per keer:</t>
  </si>
  <si>
    <t>Aantal te laat:</t>
  </si>
  <si>
    <t>Berekening Correctie Te Laat</t>
  </si>
  <si>
    <t>1e x</t>
  </si>
  <si>
    <t>2e x</t>
  </si>
  <si>
    <t>3e x</t>
  </si>
  <si>
    <t>4e x</t>
  </si>
  <si>
    <t>5e x</t>
  </si>
  <si>
    <t>6e x</t>
  </si>
  <si>
    <t>7e x</t>
  </si>
  <si>
    <t>8e x</t>
  </si>
  <si>
    <t>9e x</t>
  </si>
  <si>
    <t>10e x</t>
  </si>
  <si>
    <t>Totaal correctie:</t>
  </si>
  <si>
    <t>Max:</t>
  </si>
  <si>
    <t>Totaal aangevraagd verlof</t>
  </si>
  <si>
    <t>Vandaag:</t>
  </si>
  <si>
    <t>Aangevraagd verlof</t>
  </si>
  <si>
    <t>Verlof vorig jaar:</t>
  </si>
  <si>
    <t>Correctie Bijzonder verlof</t>
  </si>
  <si>
    <t>Te besteden vorig jaar:</t>
  </si>
  <si>
    <t>Te besteden komend jaar:</t>
  </si>
  <si>
    <t>Ziek:</t>
  </si>
  <si>
    <t>Berekening splitsing 2022 &amp; 2023:</t>
  </si>
  <si>
    <t>x zo veel (tot max 8 uur)</t>
  </si>
  <si>
    <t>Indien een medewerker langdurig ziek is, bouwt deze medewerker geen ADV-dagen op</t>
  </si>
  <si>
    <t>Maickel</t>
  </si>
  <si>
    <t>Nieuwjaar</t>
  </si>
  <si>
    <t>week 1</t>
  </si>
  <si>
    <t>dd 14-01-2025 iom Maickel neemt hij 40 uur mee van 2024 -&gt; 2025</t>
  </si>
  <si>
    <t>x</t>
  </si>
  <si>
    <t>3-7 en 4-7</t>
  </si>
  <si>
    <t>2-6, 4-6, 18-6, 19-6, 20-6, 23-6 en 24-6</t>
  </si>
  <si>
    <t>6-5, 7-5, 12-5 en 16-5</t>
  </si>
  <si>
    <t>22-4 en 25-4</t>
  </si>
  <si>
    <t>22-12 23-12 24-12 29-12 30-12 31-12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</si>
</sst>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413]d/mmm;@"/>
    <numFmt numFmtId="166" formatCode="[h]:mm"/>
    <numFmt numFmtId="167" formatCode="ddd\ d/mmm"/>
  </numFmts>
  <fonts count="14" x14ac:knownFonts="1">
    <font>
      <sz val="11"/>
      <color theme="1"/>
      <name val="Calibri"/>
      <family val="2"/>
      <scheme val="minor"/>
    </font>
    <font>
      <b/>
      <u/>
      <sz val="9"/>
      <name val="Arial"/>
      <family val="2"/>
    </font>
    <font>
      <sz val="9"/>
      <name val="Arial"/>
      <family val="2"/>
    </font>
    <font>
      <sz val="9"/>
      <color theme="1"/>
      <name val="Arial"/>
      <family val="2"/>
    </font>
    <font>
      <b/>
      <sz val="9"/>
      <name val="Arial"/>
      <family val="2"/>
    </font>
    <font>
      <sz val="8"/>
      <name val="Arial"/>
      <family val="2"/>
    </font>
    <font>
      <b/>
      <sz val="9"/>
      <color theme="1"/>
      <name val="Arial"/>
      <family val="2"/>
    </font>
    <font>
      <b/>
      <sz val="9"/>
      <color rgb="FFFF0000"/>
      <name val="Arial"/>
      <family val="2"/>
    </font>
    <font>
      <b/>
      <sz val="10"/>
      <color theme="1"/>
      <name val="Calibri"/>
      <family val="2"/>
      <scheme val="minor"/>
    </font>
    <font>
      <sz val="10"/>
      <color theme="1"/>
      <name val="Calibri"/>
      <family val="2"/>
      <scheme val="minor"/>
    </font>
    <font>
      <b/>
      <sz val="11"/>
      <color theme="1"/>
      <name val="Calibri"/>
      <family val="2"/>
      <scheme val="minor"/>
    </font>
    <font>
      <b/>
      <sz val="11"/>
      <color rgb="FFFF0000"/>
      <name val="Calibri"/>
      <family val="2"/>
      <scheme val="minor"/>
    </font>
    <font>
      <b/>
      <sz val="10"/>
      <color rgb="FFFF0000"/>
      <name val="Calibri"/>
      <family val="2"/>
      <scheme val="minor"/>
    </font>
    <font>
      <sz val="8"/>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499984740745262"/>
        <bgColor indexed="64"/>
      </patternFill>
    </fill>
  </fills>
  <borders count="96">
    <border>
      <left/>
      <right/>
      <top/>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style="thin">
        <color indexed="64"/>
      </left>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theme="0" tint="-0.24994659260841701"/>
      </left>
      <right style="medium">
        <color theme="0" tint="-0.249977111117893"/>
      </right>
      <top/>
      <bottom style="thin">
        <color theme="0" tint="-0.24994659260841701"/>
      </bottom>
      <diagonal/>
    </border>
    <border>
      <left style="thin">
        <color theme="0" tint="-0.24994659260841701"/>
      </left>
      <right style="medium">
        <color theme="0" tint="-0.249977111117893"/>
      </right>
      <top style="thin">
        <color theme="0" tint="-0.24994659260841701"/>
      </top>
      <bottom style="thin">
        <color theme="0" tint="-0.24994659260841701"/>
      </bottom>
      <diagonal/>
    </border>
    <border>
      <left style="thin">
        <color theme="0" tint="-0.24994659260841701"/>
      </left>
      <right style="medium">
        <color theme="0" tint="-0.249977111117893"/>
      </right>
      <top style="thin">
        <color theme="0" tint="-0.24994659260841701"/>
      </top>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right/>
      <top/>
      <bottom style="thin">
        <color indexed="64"/>
      </bottom>
      <diagonal/>
    </border>
    <border>
      <left/>
      <right style="medium">
        <color indexed="64"/>
      </right>
      <top/>
      <bottom/>
      <diagonal/>
    </border>
    <border>
      <left/>
      <right style="medium">
        <color indexed="64"/>
      </right>
      <top style="medium">
        <color indexed="64"/>
      </top>
      <bottom/>
      <diagonal/>
    </border>
    <border>
      <left style="thin">
        <color indexed="64"/>
      </left>
      <right/>
      <top/>
      <bottom/>
      <diagonal/>
    </border>
    <border>
      <left style="medium">
        <color indexed="64"/>
      </left>
      <right/>
      <top/>
      <bottom/>
      <diagonal/>
    </border>
    <border>
      <left style="medium">
        <color indexed="64"/>
      </left>
      <right style="medium">
        <color indexed="64"/>
      </right>
      <top/>
      <bottom style="medium">
        <color indexed="64"/>
      </bottom>
      <diagonal/>
    </border>
    <border>
      <left style="thin">
        <color theme="0" tint="-0.24994659260841701"/>
      </left>
      <right style="thin">
        <color theme="0" tint="-0.24994659260841701"/>
      </right>
      <top style="thin">
        <color theme="0" tint="-0.249977111117893"/>
      </top>
      <bottom style="thin">
        <color theme="0" tint="-0.24994659260841701"/>
      </bottom>
      <diagonal/>
    </border>
    <border>
      <left style="thin">
        <color theme="0" tint="-0.24994659260841701"/>
      </left>
      <right style="medium">
        <color theme="0" tint="-0.249977111117893"/>
      </right>
      <top style="thin">
        <color theme="0" tint="-0.249977111117893"/>
      </top>
      <bottom style="thin">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right style="thin">
        <color theme="0" tint="-0.24994659260841701"/>
      </right>
      <top style="thin">
        <color theme="0" tint="-0.249977111117893"/>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thin">
        <color theme="0" tint="-0.24994659260841701"/>
      </right>
      <top style="medium">
        <color theme="0" tint="-0.249977111117893"/>
      </top>
      <bottom style="medium">
        <color theme="0" tint="-0.249977111117893"/>
      </bottom>
      <diagonal/>
    </border>
    <border>
      <left style="thin">
        <color theme="0" tint="-0.24994659260841701"/>
      </left>
      <right style="thin">
        <color theme="0" tint="-0.24994659260841701"/>
      </right>
      <top style="medium">
        <color theme="0" tint="-0.249977111117893"/>
      </top>
      <bottom style="medium">
        <color theme="0" tint="-0.249977111117893"/>
      </bottom>
      <diagonal/>
    </border>
    <border>
      <left style="thin">
        <color theme="0" tint="-0.24994659260841701"/>
      </left>
      <right style="medium">
        <color theme="0" tint="-0.249977111117893"/>
      </right>
      <top style="medium">
        <color theme="0" tint="-0.249977111117893"/>
      </top>
      <bottom style="medium">
        <color theme="0" tint="-0.249977111117893"/>
      </bottom>
      <diagonal/>
    </border>
    <border>
      <left style="thin">
        <color theme="0" tint="-0.24994659260841701"/>
      </left>
      <right/>
      <top/>
      <bottom/>
      <diagonal/>
    </border>
    <border>
      <left style="medium">
        <color theme="0" tint="-0.249977111117893"/>
      </left>
      <right style="medium">
        <color theme="0" tint="-0.24994659260841701"/>
      </right>
      <top style="medium">
        <color theme="0" tint="-0.249977111117893"/>
      </top>
      <bottom style="thin">
        <color theme="0" tint="-0.24994659260841701"/>
      </bottom>
      <diagonal/>
    </border>
    <border>
      <left style="thin">
        <color theme="0" tint="-0.24994659260841701"/>
      </left>
      <right/>
      <top style="medium">
        <color theme="0" tint="-0.249977111117893"/>
      </top>
      <bottom style="thin">
        <color theme="0" tint="-0.24994659260841701"/>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style="thin">
        <color theme="0" tint="-0.24994659260841701"/>
      </right>
      <top style="medium">
        <color theme="0" tint="-0.249977111117893"/>
      </top>
      <bottom style="thin">
        <color theme="0" tint="-0.24994659260841701"/>
      </bottom>
      <diagonal/>
    </border>
    <border>
      <left style="thin">
        <color theme="0" tint="-0.24994659260841701"/>
      </left>
      <right style="thin">
        <color theme="0" tint="-0.24994659260841701"/>
      </right>
      <top style="medium">
        <color theme="0" tint="-0.249977111117893"/>
      </top>
      <bottom style="thin">
        <color theme="0" tint="-0.24994659260841701"/>
      </bottom>
      <diagonal/>
    </border>
    <border>
      <left style="thin">
        <color theme="0" tint="-0.24994659260841701"/>
      </left>
      <right style="medium">
        <color theme="0" tint="-0.249977111117893"/>
      </right>
      <top style="medium">
        <color theme="0" tint="-0.249977111117893"/>
      </top>
      <bottom style="thin">
        <color theme="0" tint="-0.24994659260841701"/>
      </bottom>
      <diagonal/>
    </border>
    <border>
      <left style="medium">
        <color theme="0" tint="-0.249977111117893"/>
      </left>
      <right style="medium">
        <color theme="0" tint="-0.24994659260841701"/>
      </right>
      <top style="thin">
        <color theme="0" tint="-0.24994659260841701"/>
      </top>
      <bottom style="thin">
        <color theme="0" tint="-0.24994659260841701"/>
      </bottom>
      <diagonal/>
    </border>
    <border>
      <left style="medium">
        <color theme="0" tint="-0.249977111117893"/>
      </left>
      <right style="medium">
        <color theme="0" tint="-0.24994659260841701"/>
      </right>
      <top style="thin">
        <color theme="0" tint="-0.24994659260841701"/>
      </top>
      <bottom style="medium">
        <color theme="0" tint="-0.249977111117893"/>
      </bottom>
      <diagonal/>
    </border>
    <border>
      <left style="thin">
        <color theme="0" tint="-0.24994659260841701"/>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thin">
        <color theme="0" tint="-0.24994659260841701"/>
      </right>
      <top/>
      <bottom style="medium">
        <color theme="0" tint="-0.249977111117893"/>
      </bottom>
      <diagonal/>
    </border>
    <border>
      <left style="thin">
        <color theme="0" tint="-0.24994659260841701"/>
      </left>
      <right style="thin">
        <color theme="0" tint="-0.24994659260841701"/>
      </right>
      <top style="thin">
        <color theme="0" tint="-0.24994659260841701"/>
      </top>
      <bottom style="medium">
        <color theme="0" tint="-0.249977111117893"/>
      </bottom>
      <diagonal/>
    </border>
    <border>
      <left style="thin">
        <color theme="0" tint="-0.24994659260841701"/>
      </left>
      <right style="medium">
        <color theme="0" tint="-0.249977111117893"/>
      </right>
      <top style="thin">
        <color theme="0" tint="-0.24994659260841701"/>
      </top>
      <bottom style="medium">
        <color theme="0" tint="-0.249977111117893"/>
      </bottom>
      <diagonal/>
    </border>
  </borders>
  <cellStyleXfs count="1">
    <xf numFmtId="0" fontId="0" fillId="0" borderId="0"/>
  </cellStyleXfs>
  <cellXfs count="324">
    <xf numFmtId="0" fontId="0" fillId="0" borderId="0" xfId="0"/>
    <xf numFmtId="0" fontId="1" fillId="0" borderId="0" xfId="0" applyFont="1" applyAlignment="1">
      <alignment horizontal="left"/>
    </xf>
    <xf numFmtId="0" fontId="2" fillId="0" borderId="0" xfId="0" applyFont="1" applyAlignment="1">
      <alignment horizontal="left"/>
    </xf>
    <xf numFmtId="0" fontId="3" fillId="0" borderId="0" xfId="0" applyFont="1"/>
    <xf numFmtId="0" fontId="4" fillId="0" borderId="0" xfId="0" applyFont="1" applyAlignment="1">
      <alignment horizontal="left"/>
    </xf>
    <xf numFmtId="0" fontId="3" fillId="0" borderId="0" xfId="0" applyFont="1" applyAlignment="1">
      <alignment horizontal="left"/>
    </xf>
    <xf numFmtId="0" fontId="4" fillId="0" borderId="0" xfId="0" applyFont="1" applyAlignment="1">
      <alignment horizontal="left" indent="1"/>
    </xf>
    <xf numFmtId="0" fontId="4" fillId="0" borderId="0" xfId="0" applyFont="1" applyAlignment="1">
      <alignment horizontal="center"/>
    </xf>
    <xf numFmtId="0" fontId="2" fillId="0" borderId="0" xfId="0" applyFont="1" applyAlignment="1">
      <alignment horizontal="center"/>
    </xf>
    <xf numFmtId="0" fontId="2" fillId="0" borderId="0" xfId="0" applyFont="1" applyAlignment="1">
      <alignment horizontal="left" indent="1"/>
    </xf>
    <xf numFmtId="2" fontId="2" fillId="0" borderId="2" xfId="0" applyNumberFormat="1" applyFont="1" applyBorder="1" applyAlignment="1">
      <alignment horizontal="center" vertical="center"/>
    </xf>
    <xf numFmtId="2" fontId="2" fillId="0" borderId="0" xfId="0" applyNumberFormat="1" applyFont="1" applyAlignment="1">
      <alignment horizontal="left" indent="1"/>
    </xf>
    <xf numFmtId="0" fontId="3" fillId="0" borderId="0" xfId="0" applyFont="1" applyAlignment="1">
      <alignment horizontal="center"/>
    </xf>
    <xf numFmtId="2" fontId="2" fillId="0" borderId="3" xfId="0" applyNumberFormat="1" applyFont="1" applyBorder="1" applyAlignment="1">
      <alignment horizontal="center" vertical="center"/>
    </xf>
    <xf numFmtId="0" fontId="6" fillId="0" borderId="0" xfId="0" applyFont="1"/>
    <xf numFmtId="2" fontId="2" fillId="0" borderId="4" xfId="0" applyNumberFormat="1" applyFont="1" applyBorder="1" applyAlignment="1">
      <alignment horizontal="center" vertical="center"/>
    </xf>
    <xf numFmtId="2" fontId="2" fillId="0" borderId="0" xfId="0" applyNumberFormat="1" applyFont="1" applyAlignment="1">
      <alignment horizontal="center"/>
    </xf>
    <xf numFmtId="2" fontId="2" fillId="0" borderId="0" xfId="0" applyNumberFormat="1" applyFont="1" applyAlignment="1">
      <alignment horizontal="left"/>
    </xf>
    <xf numFmtId="0" fontId="2" fillId="0" borderId="0" xfId="0" applyFont="1"/>
    <xf numFmtId="0" fontId="3" fillId="0" borderId="0" xfId="0" applyFont="1" applyAlignment="1">
      <alignment horizontal="left" indent="1"/>
    </xf>
    <xf numFmtId="0" fontId="4" fillId="0" borderId="5" xfId="0" applyFont="1" applyBorder="1" applyAlignment="1">
      <alignment horizontal="center" vertical="center"/>
    </xf>
    <xf numFmtId="0" fontId="4" fillId="0" borderId="0" xfId="0" applyFont="1" applyAlignment="1">
      <alignment horizontal="left" vertical="center" indent="1"/>
    </xf>
    <xf numFmtId="2" fontId="7" fillId="0" borderId="4" xfId="0" applyNumberFormat="1" applyFont="1" applyBorder="1" applyAlignment="1">
      <alignment horizontal="center" vertical="center"/>
    </xf>
    <xf numFmtId="2" fontId="4" fillId="0" borderId="0" xfId="0" applyNumberFormat="1" applyFont="1" applyAlignment="1">
      <alignment horizontal="center"/>
    </xf>
    <xf numFmtId="0" fontId="4" fillId="0" borderId="0" xfId="0" applyFont="1"/>
    <xf numFmtId="0" fontId="9" fillId="0" borderId="0" xfId="0" applyFont="1"/>
    <xf numFmtId="0" fontId="0" fillId="3" borderId="0" xfId="0" applyFill="1"/>
    <xf numFmtId="0" fontId="2" fillId="3" borderId="0" xfId="0" applyFont="1" applyFill="1" applyAlignment="1">
      <alignment horizontal="left"/>
    </xf>
    <xf numFmtId="0" fontId="4" fillId="3" borderId="0" xfId="0" applyFont="1" applyFill="1" applyAlignment="1">
      <alignment horizontal="left" indent="1"/>
    </xf>
    <xf numFmtId="0" fontId="3" fillId="3" borderId="0" xfId="0" applyFont="1" applyFill="1"/>
    <xf numFmtId="0" fontId="9" fillId="3" borderId="0" xfId="0" applyFont="1" applyFill="1"/>
    <xf numFmtId="0" fontId="8" fillId="0" borderId="17" xfId="0" applyFont="1" applyBorder="1" applyAlignment="1">
      <alignment horizontal="left"/>
    </xf>
    <xf numFmtId="0" fontId="8" fillId="0" borderId="23" xfId="0" applyFont="1" applyBorder="1" applyAlignment="1">
      <alignment horizontal="left"/>
    </xf>
    <xf numFmtId="0" fontId="8" fillId="0" borderId="18" xfId="0" applyFont="1" applyBorder="1" applyAlignment="1">
      <alignment horizontal="left"/>
    </xf>
    <xf numFmtId="0" fontId="9" fillId="3" borderId="43" xfId="0" applyFont="1" applyFill="1" applyBorder="1" applyAlignment="1">
      <alignment horizontal="center"/>
    </xf>
    <xf numFmtId="0" fontId="9" fillId="3" borderId="16" xfId="0" applyFont="1" applyFill="1" applyBorder="1" applyAlignment="1">
      <alignment horizontal="center"/>
    </xf>
    <xf numFmtId="0" fontId="9" fillId="3" borderId="0" xfId="0" applyFont="1" applyFill="1" applyAlignment="1">
      <alignment horizontal="center"/>
    </xf>
    <xf numFmtId="0" fontId="9" fillId="0" borderId="20" xfId="0" applyFont="1" applyBorder="1"/>
    <xf numFmtId="0" fontId="9" fillId="0" borderId="8" xfId="0" applyFont="1" applyBorder="1"/>
    <xf numFmtId="0" fontId="9" fillId="0" borderId="11" xfId="0" applyFont="1" applyBorder="1"/>
    <xf numFmtId="0" fontId="9" fillId="3" borderId="0" xfId="0" applyFont="1" applyFill="1" applyAlignment="1">
      <alignment horizontal="left"/>
    </xf>
    <xf numFmtId="0" fontId="9" fillId="0" borderId="31" xfId="0" applyFont="1" applyBorder="1"/>
    <xf numFmtId="0" fontId="4" fillId="3" borderId="21" xfId="0" applyFont="1" applyFill="1" applyBorder="1" applyAlignment="1">
      <alignment horizontal="left"/>
    </xf>
    <xf numFmtId="2" fontId="2" fillId="0" borderId="47" xfId="0" applyNumberFormat="1" applyFont="1" applyBorder="1" applyAlignment="1">
      <alignment horizontal="center" vertical="center"/>
    </xf>
    <xf numFmtId="2" fontId="2" fillId="0" borderId="48" xfId="0" applyNumberFormat="1" applyFont="1" applyBorder="1" applyAlignment="1">
      <alignment horizontal="center" vertical="center"/>
    </xf>
    <xf numFmtId="2" fontId="2" fillId="0" borderId="49" xfId="0" applyNumberFormat="1" applyFont="1" applyBorder="1" applyAlignment="1">
      <alignment horizontal="center" vertical="center"/>
    </xf>
    <xf numFmtId="0" fontId="4" fillId="3" borderId="0" xfId="0" applyFont="1" applyFill="1" applyAlignment="1">
      <alignment horizontal="left"/>
    </xf>
    <xf numFmtId="0" fontId="4" fillId="3" borderId="27" xfId="0" applyFont="1" applyFill="1" applyBorder="1" applyAlignment="1">
      <alignment horizontal="left"/>
    </xf>
    <xf numFmtId="164" fontId="9" fillId="0" borderId="7" xfId="0" applyNumberFormat="1" applyFont="1" applyBorder="1" applyAlignment="1">
      <alignment horizontal="center"/>
    </xf>
    <xf numFmtId="164" fontId="9" fillId="0" borderId="14" xfId="0" applyNumberFormat="1" applyFont="1" applyBorder="1" applyAlignment="1">
      <alignment horizontal="center"/>
    </xf>
    <xf numFmtId="0" fontId="9" fillId="0" borderId="58" xfId="0" applyFont="1" applyBorder="1"/>
    <xf numFmtId="0" fontId="9" fillId="0" borderId="59" xfId="0" applyFont="1" applyBorder="1"/>
    <xf numFmtId="0" fontId="9" fillId="0" borderId="60" xfId="0" applyFont="1" applyBorder="1"/>
    <xf numFmtId="0" fontId="9" fillId="0" borderId="51" xfId="0" applyFont="1" applyBorder="1"/>
    <xf numFmtId="0" fontId="9" fillId="0" borderId="36" xfId="0" applyFont="1" applyBorder="1"/>
    <xf numFmtId="0" fontId="9" fillId="0" borderId="32" xfId="0" applyFont="1" applyBorder="1"/>
    <xf numFmtId="0" fontId="9" fillId="0" borderId="33" xfId="0" applyFont="1" applyBorder="1"/>
    <xf numFmtId="16" fontId="9" fillId="0" borderId="53" xfId="0" applyNumberFormat="1" applyFont="1" applyBorder="1" applyAlignment="1" applyProtection="1">
      <alignment horizontal="center"/>
      <protection locked="0"/>
    </xf>
    <xf numFmtId="16" fontId="9" fillId="0" borderId="12" xfId="0" applyNumberFormat="1" applyFont="1" applyBorder="1" applyAlignment="1" applyProtection="1">
      <alignment horizontal="center"/>
      <protection locked="0"/>
    </xf>
    <xf numFmtId="16" fontId="9" fillId="0" borderId="54" xfId="0" applyNumberFormat="1" applyFont="1" applyBorder="1" applyAlignment="1" applyProtection="1">
      <alignment horizontal="center"/>
      <protection locked="0"/>
    </xf>
    <xf numFmtId="16" fontId="9" fillId="0" borderId="15" xfId="0" applyNumberFormat="1" applyFont="1" applyBorder="1" applyAlignment="1" applyProtection="1">
      <alignment horizontal="center"/>
      <protection locked="0"/>
    </xf>
    <xf numFmtId="0" fontId="3" fillId="3" borderId="21" xfId="0" applyFont="1" applyFill="1" applyBorder="1" applyAlignment="1" applyProtection="1">
      <alignment horizontal="left"/>
      <protection locked="0"/>
    </xf>
    <xf numFmtId="0" fontId="3" fillId="3" borderId="21" xfId="0" applyFont="1" applyFill="1" applyBorder="1" applyProtection="1">
      <protection locked="0"/>
    </xf>
    <xf numFmtId="0" fontId="0" fillId="3" borderId="7" xfId="0" applyFill="1" applyBorder="1"/>
    <xf numFmtId="0" fontId="0" fillId="3" borderId="20" xfId="0" applyFill="1" applyBorder="1"/>
    <xf numFmtId="0" fontId="0" fillId="3" borderId="21" xfId="0" applyFill="1" applyBorder="1"/>
    <xf numFmtId="0" fontId="0" fillId="3" borderId="22" xfId="0" applyFill="1" applyBorder="1"/>
    <xf numFmtId="0" fontId="0" fillId="3" borderId="27" xfId="0" applyFill="1" applyBorder="1"/>
    <xf numFmtId="0" fontId="0" fillId="3" borderId="55" xfId="0" applyFill="1" applyBorder="1"/>
    <xf numFmtId="0" fontId="0" fillId="3" borderId="38" xfId="0" applyFill="1" applyBorder="1"/>
    <xf numFmtId="20" fontId="0" fillId="3" borderId="39" xfId="0" applyNumberFormat="1" applyFill="1" applyBorder="1" applyAlignment="1">
      <alignment horizontal="center"/>
    </xf>
    <xf numFmtId="20" fontId="0" fillId="3" borderId="34" xfId="0" applyNumberFormat="1" applyFill="1" applyBorder="1" applyAlignment="1">
      <alignment horizontal="center"/>
    </xf>
    <xf numFmtId="20" fontId="0" fillId="3" borderId="38" xfId="0" applyNumberFormat="1" applyFill="1" applyBorder="1" applyAlignment="1">
      <alignment horizontal="center"/>
    </xf>
    <xf numFmtId="20" fontId="0" fillId="3" borderId="61" xfId="0" applyNumberFormat="1" applyFill="1" applyBorder="1" applyAlignment="1">
      <alignment horizontal="center"/>
    </xf>
    <xf numFmtId="0" fontId="0" fillId="3" borderId="11" xfId="0" applyFill="1" applyBorder="1"/>
    <xf numFmtId="20" fontId="0" fillId="3" borderId="7" xfId="0" applyNumberFormat="1" applyFill="1" applyBorder="1" applyAlignment="1">
      <alignment horizontal="center"/>
    </xf>
    <xf numFmtId="20" fontId="0" fillId="3" borderId="12" xfId="0" applyNumberFormat="1" applyFill="1" applyBorder="1" applyAlignment="1">
      <alignment horizontal="center"/>
    </xf>
    <xf numFmtId="20" fontId="0" fillId="3" borderId="11" xfId="0" applyNumberFormat="1" applyFill="1" applyBorder="1" applyAlignment="1">
      <alignment horizontal="center"/>
    </xf>
    <xf numFmtId="20" fontId="0" fillId="3" borderId="25" xfId="0" applyNumberFormat="1" applyFill="1" applyBorder="1" applyAlignment="1">
      <alignment horizontal="center"/>
    </xf>
    <xf numFmtId="0" fontId="0" fillId="3" borderId="31" xfId="0" applyFill="1" applyBorder="1"/>
    <xf numFmtId="20" fontId="0" fillId="3" borderId="62" xfId="0" applyNumberFormat="1" applyFill="1" applyBorder="1" applyAlignment="1">
      <alignment horizontal="center"/>
    </xf>
    <xf numFmtId="20" fontId="0" fillId="3" borderId="63" xfId="0" applyNumberFormat="1" applyFill="1" applyBorder="1" applyAlignment="1">
      <alignment horizontal="center"/>
    </xf>
    <xf numFmtId="20" fontId="0" fillId="3" borderId="31" xfId="0" applyNumberFormat="1" applyFill="1" applyBorder="1" applyAlignment="1">
      <alignment horizontal="center"/>
    </xf>
    <xf numFmtId="0" fontId="0" fillId="3" borderId="0" xfId="0" applyFill="1" applyAlignment="1">
      <alignment horizontal="left" wrapText="1"/>
    </xf>
    <xf numFmtId="0" fontId="0" fillId="3" borderId="0" xfId="0" applyFill="1" applyAlignment="1">
      <alignment horizontal="left" vertical="top" wrapText="1"/>
    </xf>
    <xf numFmtId="0" fontId="10" fillId="3" borderId="0" xfId="0" applyFont="1" applyFill="1" applyAlignment="1">
      <alignment horizontal="left" vertical="top" wrapText="1"/>
    </xf>
    <xf numFmtId="0" fontId="8" fillId="0" borderId="9" xfId="0" applyFont="1" applyBorder="1"/>
    <xf numFmtId="0" fontId="12" fillId="0" borderId="7" xfId="0" applyFont="1" applyBorder="1" applyAlignment="1">
      <alignment horizontal="center"/>
    </xf>
    <xf numFmtId="164" fontId="8" fillId="0" borderId="7" xfId="0" applyNumberFormat="1" applyFont="1" applyBorder="1" applyAlignment="1">
      <alignment horizontal="center"/>
    </xf>
    <xf numFmtId="1" fontId="12" fillId="0" borderId="11" xfId="0" applyNumberFormat="1" applyFont="1" applyBorder="1" applyAlignment="1">
      <alignment horizontal="center"/>
    </xf>
    <xf numFmtId="1" fontId="12" fillId="0" borderId="13" xfId="0" applyNumberFormat="1" applyFont="1" applyBorder="1" applyAlignment="1">
      <alignment horizontal="center"/>
    </xf>
    <xf numFmtId="164" fontId="8" fillId="0" borderId="14" xfId="0" applyNumberFormat="1" applyFont="1" applyBorder="1" applyAlignment="1">
      <alignment horizontal="center"/>
    </xf>
    <xf numFmtId="0" fontId="10" fillId="0" borderId="7" xfId="0" applyFont="1" applyBorder="1"/>
    <xf numFmtId="0" fontId="0" fillId="3" borderId="7" xfId="0" applyFill="1" applyBorder="1" applyAlignment="1">
      <alignment horizontal="left" vertical="top" wrapText="1"/>
    </xf>
    <xf numFmtId="0" fontId="0" fillId="4" borderId="7" xfId="0" applyFill="1" applyBorder="1" applyAlignment="1">
      <alignment horizontal="center" vertical="top" wrapText="1"/>
    </xf>
    <xf numFmtId="0" fontId="0" fillId="3" borderId="0" xfId="0" applyFill="1" applyAlignment="1">
      <alignment horizontal="center" vertical="top" wrapText="1"/>
    </xf>
    <xf numFmtId="0" fontId="0" fillId="0" borderId="0" xfId="0" applyAlignment="1">
      <alignment horizontal="center"/>
    </xf>
    <xf numFmtId="0" fontId="0" fillId="0" borderId="0" xfId="0" applyAlignment="1">
      <alignment horizontal="left"/>
    </xf>
    <xf numFmtId="0" fontId="0" fillId="0" borderId="7" xfId="0" applyBorder="1"/>
    <xf numFmtId="1" fontId="0" fillId="0" borderId="7" xfId="0" applyNumberFormat="1" applyBorder="1" applyAlignment="1">
      <alignment horizontal="center"/>
    </xf>
    <xf numFmtId="0" fontId="0" fillId="0" borderId="7" xfId="0" applyBorder="1" applyAlignment="1">
      <alignment horizontal="center"/>
    </xf>
    <xf numFmtId="0" fontId="12" fillId="0" borderId="14" xfId="0" applyFont="1" applyBorder="1" applyAlignment="1">
      <alignment horizontal="center"/>
    </xf>
    <xf numFmtId="0" fontId="10" fillId="0" borderId="7" xfId="0" applyFont="1" applyBorder="1" applyAlignment="1">
      <alignment horizontal="center"/>
    </xf>
    <xf numFmtId="0" fontId="0" fillId="3" borderId="0" xfId="0" applyFill="1" applyAlignment="1">
      <alignment horizontal="right"/>
    </xf>
    <xf numFmtId="0" fontId="0" fillId="3" borderId="0" xfId="0" applyFill="1" applyAlignment="1">
      <alignment horizontal="center"/>
    </xf>
    <xf numFmtId="20" fontId="0" fillId="3" borderId="0" xfId="0" applyNumberFormat="1" applyFill="1" applyAlignment="1">
      <alignment horizontal="center"/>
    </xf>
    <xf numFmtId="166" fontId="10" fillId="3" borderId="0" xfId="0" applyNumberFormat="1" applyFont="1" applyFill="1" applyAlignment="1">
      <alignment horizontal="center"/>
    </xf>
    <xf numFmtId="0" fontId="11" fillId="3" borderId="0" xfId="0" applyFont="1" applyFill="1" applyAlignment="1">
      <alignment horizontal="center"/>
    </xf>
    <xf numFmtId="0" fontId="10" fillId="3" borderId="0" xfId="0" applyFont="1" applyFill="1" applyAlignment="1">
      <alignment horizontal="left"/>
    </xf>
    <xf numFmtId="0" fontId="0" fillId="2" borderId="7" xfId="0" applyFill="1" applyBorder="1" applyAlignment="1">
      <alignment horizontal="center"/>
    </xf>
    <xf numFmtId="164" fontId="11" fillId="3" borderId="55" xfId="0" applyNumberFormat="1" applyFont="1" applyFill="1" applyBorder="1" applyAlignment="1">
      <alignment horizontal="center"/>
    </xf>
    <xf numFmtId="0" fontId="9" fillId="3" borderId="0" xfId="0" applyFont="1" applyFill="1" applyAlignment="1" applyProtection="1">
      <alignment horizontal="center"/>
      <protection locked="0"/>
    </xf>
    <xf numFmtId="0" fontId="9" fillId="0" borderId="55" xfId="0" applyFont="1" applyBorder="1"/>
    <xf numFmtId="0" fontId="8" fillId="3" borderId="0" xfId="0" applyFont="1" applyFill="1" applyAlignment="1">
      <alignment horizontal="left"/>
    </xf>
    <xf numFmtId="164" fontId="8" fillId="3" borderId="0" xfId="0" applyNumberFormat="1" applyFont="1" applyFill="1" applyAlignment="1">
      <alignment horizontal="center"/>
    </xf>
    <xf numFmtId="0" fontId="8" fillId="3" borderId="0" xfId="0" applyFont="1" applyFill="1"/>
    <xf numFmtId="0" fontId="9" fillId="0" borderId="42" xfId="0" applyFont="1" applyBorder="1"/>
    <xf numFmtId="164" fontId="9" fillId="3" borderId="0" xfId="0" applyNumberFormat="1" applyFont="1" applyFill="1" applyAlignment="1" applyProtection="1">
      <alignment horizontal="center"/>
      <protection locked="0"/>
    </xf>
    <xf numFmtId="14" fontId="9" fillId="0" borderId="0" xfId="0" applyNumberFormat="1" applyFont="1"/>
    <xf numFmtId="0" fontId="9" fillId="3" borderId="0" xfId="0" applyFont="1" applyFill="1" applyAlignment="1" applyProtection="1">
      <alignment horizontal="left"/>
      <protection locked="0"/>
    </xf>
    <xf numFmtId="0" fontId="12" fillId="3" borderId="0" xfId="0" applyFont="1" applyFill="1"/>
    <xf numFmtId="0" fontId="10" fillId="0" borderId="0" xfId="0" applyFont="1" applyAlignment="1">
      <alignment horizontal="left"/>
    </xf>
    <xf numFmtId="14" fontId="0" fillId="0" borderId="0" xfId="0" applyNumberFormat="1" applyAlignment="1">
      <alignment horizontal="center"/>
    </xf>
    <xf numFmtId="0" fontId="0" fillId="0" borderId="7" xfId="0" applyBorder="1" applyAlignment="1">
      <alignment horizontal="left" vertical="top"/>
    </xf>
    <xf numFmtId="0" fontId="10" fillId="0" borderId="0" xfId="0" applyFont="1" applyAlignment="1">
      <alignment horizontal="left" vertical="top"/>
    </xf>
    <xf numFmtId="0" fontId="10" fillId="0" borderId="7" xfId="0" applyFont="1" applyBorder="1" applyAlignment="1">
      <alignment horizontal="left" vertical="top"/>
    </xf>
    <xf numFmtId="0" fontId="8" fillId="3" borderId="55" xfId="0" applyFont="1" applyFill="1" applyBorder="1"/>
    <xf numFmtId="0" fontId="11" fillId="0" borderId="7" xfId="0" applyFont="1" applyBorder="1" applyAlignment="1">
      <alignment horizontal="left" vertical="top"/>
    </xf>
    <xf numFmtId="0" fontId="11" fillId="0" borderId="7" xfId="0" applyFont="1" applyBorder="1" applyAlignment="1">
      <alignment horizontal="center"/>
    </xf>
    <xf numFmtId="0" fontId="10" fillId="0" borderId="7" xfId="0" applyFont="1" applyBorder="1" applyAlignment="1">
      <alignment horizontal="left"/>
    </xf>
    <xf numFmtId="164" fontId="9" fillId="3" borderId="71" xfId="0" applyNumberFormat="1" applyFont="1" applyFill="1" applyBorder="1" applyAlignment="1">
      <alignment horizontal="center"/>
    </xf>
    <xf numFmtId="0" fontId="8" fillId="6" borderId="55" xfId="0" applyFont="1" applyFill="1" applyBorder="1"/>
    <xf numFmtId="0" fontId="12" fillId="0" borderId="38" xfId="0" applyFont="1" applyBorder="1" applyAlignment="1">
      <alignment horizontal="center"/>
    </xf>
    <xf numFmtId="0" fontId="12" fillId="0" borderId="39" xfId="0" applyFont="1" applyBorder="1"/>
    <xf numFmtId="0" fontId="8" fillId="0" borderId="39" xfId="0" applyFont="1" applyBorder="1"/>
    <xf numFmtId="20" fontId="0" fillId="7" borderId="64" xfId="0" applyNumberFormat="1" applyFill="1" applyBorder="1" applyAlignment="1">
      <alignment horizontal="center"/>
    </xf>
    <xf numFmtId="164" fontId="10" fillId="3" borderId="55" xfId="0" applyNumberFormat="1" applyFont="1" applyFill="1" applyBorder="1" applyAlignment="1">
      <alignment horizontal="center"/>
    </xf>
    <xf numFmtId="164" fontId="0" fillId="3" borderId="65" xfId="0" applyNumberFormat="1" applyFill="1" applyBorder="1" applyAlignment="1">
      <alignment horizontal="center"/>
    </xf>
    <xf numFmtId="2" fontId="2" fillId="0" borderId="72" xfId="0" applyNumberFormat="1" applyFont="1" applyBorder="1" applyAlignment="1">
      <alignment horizontal="center" vertical="center"/>
    </xf>
    <xf numFmtId="2" fontId="2" fillId="0" borderId="73" xfId="0" applyNumberFormat="1" applyFont="1" applyBorder="1" applyAlignment="1">
      <alignment horizontal="center" vertical="center"/>
    </xf>
    <xf numFmtId="2" fontId="2" fillId="3" borderId="74" xfId="0" applyNumberFormat="1" applyFont="1" applyFill="1" applyBorder="1" applyAlignment="1">
      <alignment horizontal="center" vertical="center"/>
    </xf>
    <xf numFmtId="2" fontId="2" fillId="0" borderId="1" xfId="0" applyNumberFormat="1" applyFont="1" applyBorder="1" applyAlignment="1">
      <alignment horizontal="center" vertical="center"/>
    </xf>
    <xf numFmtId="2" fontId="2" fillId="0" borderId="75" xfId="0" applyNumberFormat="1" applyFont="1" applyBorder="1" applyAlignment="1">
      <alignment horizontal="center" vertical="center"/>
    </xf>
    <xf numFmtId="2" fontId="2" fillId="0" borderId="76" xfId="0" applyNumberFormat="1" applyFont="1" applyBorder="1" applyAlignment="1">
      <alignment horizontal="center" vertical="center"/>
    </xf>
    <xf numFmtId="2" fontId="2" fillId="0" borderId="77" xfId="0" applyNumberFormat="1" applyFont="1" applyBorder="1" applyAlignment="1">
      <alignment horizontal="center" vertical="center"/>
    </xf>
    <xf numFmtId="2" fontId="7" fillId="0" borderId="0" xfId="0" applyNumberFormat="1" applyFont="1" applyAlignment="1">
      <alignment horizontal="center" vertical="center"/>
    </xf>
    <xf numFmtId="2" fontId="7" fillId="0" borderId="78" xfId="0" applyNumberFormat="1" applyFont="1" applyBorder="1" applyAlignment="1">
      <alignment horizontal="center" vertical="center"/>
    </xf>
    <xf numFmtId="0" fontId="5" fillId="0" borderId="79" xfId="0" applyFont="1" applyBorder="1" applyAlignment="1">
      <alignment horizontal="left" vertical="center"/>
    </xf>
    <xf numFmtId="0" fontId="3" fillId="0" borderId="80" xfId="0" applyFont="1" applyBorder="1" applyAlignment="1">
      <alignment horizontal="left" indent="1"/>
    </xf>
    <xf numFmtId="0" fontId="7" fillId="0" borderId="80" xfId="0" applyFont="1" applyBorder="1" applyAlignment="1">
      <alignment horizontal="left" indent="1"/>
    </xf>
    <xf numFmtId="0" fontId="3" fillId="0" borderId="81" xfId="0" applyFont="1" applyBorder="1" applyAlignment="1">
      <alignment horizontal="left" indent="1"/>
    </xf>
    <xf numFmtId="0" fontId="4" fillId="0" borderId="79" xfId="0" applyFont="1" applyBorder="1" applyAlignment="1">
      <alignment horizontal="center" vertical="center"/>
    </xf>
    <xf numFmtId="0" fontId="4" fillId="0" borderId="80" xfId="0" applyFont="1" applyBorder="1" applyAlignment="1">
      <alignment horizontal="center" vertical="center"/>
    </xf>
    <xf numFmtId="0" fontId="7" fillId="0" borderId="80" xfId="0" applyFont="1" applyBorder="1" applyAlignment="1">
      <alignment horizontal="center" vertical="center"/>
    </xf>
    <xf numFmtId="0" fontId="4" fillId="0" borderId="81" xfId="0" applyFont="1" applyBorder="1" applyAlignment="1">
      <alignment horizontal="center" vertical="center"/>
    </xf>
    <xf numFmtId="2" fontId="2" fillId="0" borderId="0" xfId="0" applyNumberFormat="1" applyFont="1" applyAlignment="1">
      <alignment horizontal="center" vertical="center"/>
    </xf>
    <xf numFmtId="2" fontId="4" fillId="0" borderId="0" xfId="0" applyNumberFormat="1" applyFont="1" applyAlignment="1">
      <alignment horizontal="center" vertical="center"/>
    </xf>
    <xf numFmtId="167" fontId="2" fillId="3" borderId="83" xfId="0" applyNumberFormat="1" applyFont="1" applyFill="1" applyBorder="1" applyAlignment="1">
      <alignment horizontal="left" vertical="center"/>
    </xf>
    <xf numFmtId="2" fontId="2" fillId="3" borderId="84" xfId="0" applyNumberFormat="1" applyFont="1" applyFill="1" applyBorder="1" applyAlignment="1">
      <alignment horizontal="center" vertical="center"/>
    </xf>
    <xf numFmtId="2" fontId="7" fillId="3" borderId="85" xfId="0" applyNumberFormat="1" applyFont="1" applyFill="1" applyBorder="1" applyAlignment="1">
      <alignment horizontal="center" vertical="center"/>
    </xf>
    <xf numFmtId="2" fontId="2" fillId="3" borderId="86" xfId="0" applyNumberFormat="1" applyFont="1" applyFill="1" applyBorder="1" applyAlignment="1">
      <alignment horizontal="center" vertical="center"/>
    </xf>
    <xf numFmtId="2" fontId="2" fillId="3" borderId="87" xfId="0" applyNumberFormat="1" applyFont="1" applyFill="1" applyBorder="1" applyAlignment="1">
      <alignment horizontal="center" vertical="center"/>
    </xf>
    <xf numFmtId="2" fontId="2" fillId="3" borderId="88" xfId="0" applyNumberFormat="1" applyFont="1" applyFill="1" applyBorder="1" applyAlignment="1">
      <alignment horizontal="center" vertical="center"/>
    </xf>
    <xf numFmtId="167" fontId="2" fillId="0" borderId="89" xfId="0" applyNumberFormat="1" applyFont="1" applyBorder="1" applyAlignment="1">
      <alignment horizontal="left" vertical="center"/>
    </xf>
    <xf numFmtId="167" fontId="2" fillId="0" borderId="90" xfId="0" applyNumberFormat="1" applyFont="1" applyBorder="1" applyAlignment="1">
      <alignment horizontal="left" vertical="center"/>
    </xf>
    <xf numFmtId="2" fontId="2" fillId="3" borderId="91" xfId="0" applyNumberFormat="1" applyFont="1" applyFill="1" applyBorder="1" applyAlignment="1">
      <alignment horizontal="center" vertical="center"/>
    </xf>
    <xf numFmtId="2" fontId="7" fillId="0" borderId="92" xfId="0" applyNumberFormat="1" applyFont="1" applyBorder="1" applyAlignment="1">
      <alignment horizontal="center" vertical="center"/>
    </xf>
    <xf numFmtId="2" fontId="2" fillId="0" borderId="93" xfId="0" applyNumberFormat="1" applyFont="1" applyBorder="1" applyAlignment="1">
      <alignment horizontal="center" vertical="center"/>
    </xf>
    <xf numFmtId="2" fontId="2" fillId="0" borderId="94" xfId="0" applyNumberFormat="1" applyFont="1" applyBorder="1" applyAlignment="1">
      <alignment horizontal="center" vertical="center"/>
    </xf>
    <xf numFmtId="2" fontId="2" fillId="0" borderId="95" xfId="0" applyNumberFormat="1" applyFont="1" applyBorder="1" applyAlignment="1">
      <alignment horizontal="center" vertical="center"/>
    </xf>
    <xf numFmtId="0" fontId="4" fillId="0" borderId="79" xfId="0" applyFont="1" applyBorder="1" applyAlignment="1">
      <alignment horizontal="left" indent="1"/>
    </xf>
    <xf numFmtId="2" fontId="2" fillId="0" borderId="80" xfId="0" applyNumberFormat="1" applyFont="1" applyBorder="1" applyAlignment="1">
      <alignment horizontal="center"/>
    </xf>
    <xf numFmtId="2" fontId="7" fillId="0" borderId="80" xfId="0" applyNumberFormat="1" applyFont="1" applyBorder="1" applyAlignment="1">
      <alignment horizontal="center"/>
    </xf>
    <xf numFmtId="2" fontId="2" fillId="0" borderId="81" xfId="0" applyNumberFormat="1" applyFont="1" applyBorder="1" applyAlignment="1">
      <alignment horizontal="center"/>
    </xf>
    <xf numFmtId="2" fontId="4" fillId="0" borderId="82" xfId="0" applyNumberFormat="1" applyFont="1" applyBorder="1" applyAlignment="1">
      <alignment horizontal="center" vertical="center"/>
    </xf>
    <xf numFmtId="2" fontId="4" fillId="0" borderId="4" xfId="0" applyNumberFormat="1" applyFont="1" applyBorder="1" applyAlignment="1">
      <alignment horizontal="center" vertical="center"/>
    </xf>
    <xf numFmtId="2" fontId="2" fillId="0" borderId="6" xfId="0" applyNumberFormat="1" applyFont="1" applyBorder="1" applyAlignment="1">
      <alignment horizontal="center"/>
    </xf>
    <xf numFmtId="0" fontId="4" fillId="0" borderId="79" xfId="0" applyFont="1" applyBorder="1" applyAlignment="1">
      <alignment horizontal="center"/>
    </xf>
    <xf numFmtId="2" fontId="2" fillId="2" borderId="1" xfId="0" applyNumberFormat="1" applyFont="1" applyFill="1" applyBorder="1" applyAlignment="1">
      <alignment horizontal="center" vertical="center"/>
    </xf>
    <xf numFmtId="2" fontId="2" fillId="2" borderId="77" xfId="0" applyNumberFormat="1" applyFont="1" applyFill="1" applyBorder="1" applyAlignment="1">
      <alignment horizontal="center" vertical="center"/>
    </xf>
    <xf numFmtId="2" fontId="2" fillId="2" borderId="76" xfId="0" applyNumberFormat="1" applyFont="1" applyFill="1" applyBorder="1" applyAlignment="1">
      <alignment horizontal="center" vertical="center"/>
    </xf>
    <xf numFmtId="164" fontId="0" fillId="0" borderId="0" xfId="0" applyNumberFormat="1"/>
    <xf numFmtId="0" fontId="9" fillId="0" borderId="11" xfId="0" applyFont="1" applyBorder="1" applyAlignment="1">
      <alignment horizontal="left"/>
    </xf>
    <xf numFmtId="0" fontId="9" fillId="0" borderId="12" xfId="0" applyFont="1" applyBorder="1" applyAlignment="1">
      <alignment horizontal="left"/>
    </xf>
    <xf numFmtId="165" fontId="9" fillId="0" borderId="53" xfId="0" applyNumberFormat="1" applyFont="1" applyBorder="1" applyAlignment="1" applyProtection="1">
      <alignment horizontal="center"/>
      <protection locked="0"/>
    </xf>
    <xf numFmtId="165" fontId="9" fillId="0" borderId="35" xfId="0" applyNumberFormat="1" applyFont="1" applyBorder="1" applyAlignment="1" applyProtection="1">
      <alignment horizontal="center"/>
      <protection locked="0"/>
    </xf>
    <xf numFmtId="0" fontId="9" fillId="4" borderId="17" xfId="0" applyFont="1" applyFill="1" applyBorder="1" applyAlignment="1" applyProtection="1">
      <alignment horizontal="center"/>
      <protection locked="0"/>
    </xf>
    <xf numFmtId="0" fontId="9" fillId="4" borderId="18" xfId="0" applyFont="1" applyFill="1" applyBorder="1" applyAlignment="1" applyProtection="1">
      <alignment horizontal="center"/>
      <protection locked="0"/>
    </xf>
    <xf numFmtId="0" fontId="9" fillId="4" borderId="7" xfId="0" applyFont="1" applyFill="1" applyBorder="1" applyAlignment="1" applyProtection="1">
      <alignment horizontal="center"/>
      <protection locked="0"/>
    </xf>
    <xf numFmtId="0" fontId="9" fillId="4" borderId="12" xfId="0" applyFont="1" applyFill="1" applyBorder="1" applyAlignment="1" applyProtection="1">
      <alignment horizontal="center"/>
      <protection locked="0"/>
    </xf>
    <xf numFmtId="0" fontId="9" fillId="0" borderId="20" xfId="0" applyFont="1" applyBorder="1" applyAlignment="1">
      <alignment horizontal="left"/>
    </xf>
    <xf numFmtId="0" fontId="9" fillId="0" borderId="21" xfId="0" applyFont="1" applyBorder="1" applyAlignment="1">
      <alignment horizontal="left"/>
    </xf>
    <xf numFmtId="0" fontId="9" fillId="0" borderId="22" xfId="0" applyFont="1" applyBorder="1" applyAlignment="1">
      <alignment horizontal="left"/>
    </xf>
    <xf numFmtId="16" fontId="9" fillId="4" borderId="7" xfId="0" applyNumberFormat="1" applyFont="1" applyFill="1" applyBorder="1" applyAlignment="1" applyProtection="1">
      <alignment horizontal="center"/>
      <protection locked="0"/>
    </xf>
    <xf numFmtId="16" fontId="9" fillId="4" borderId="39" xfId="0" applyNumberFormat="1" applyFont="1" applyFill="1" applyBorder="1" applyAlignment="1" applyProtection="1">
      <alignment horizontal="center"/>
      <protection locked="0"/>
    </xf>
    <xf numFmtId="0" fontId="9" fillId="4" borderId="34" xfId="0" applyFont="1" applyFill="1" applyBorder="1" applyAlignment="1" applyProtection="1">
      <alignment horizontal="center"/>
      <protection locked="0"/>
    </xf>
    <xf numFmtId="0" fontId="9" fillId="4" borderId="28" xfId="0" applyFont="1" applyFill="1" applyBorder="1" applyAlignment="1" applyProtection="1">
      <alignment horizontal="center"/>
      <protection locked="0"/>
    </xf>
    <xf numFmtId="16" fontId="9" fillId="4" borderId="28" xfId="0" applyNumberFormat="1" applyFont="1" applyFill="1" applyBorder="1" applyAlignment="1" applyProtection="1">
      <alignment horizontal="center"/>
      <protection locked="0"/>
    </xf>
    <xf numFmtId="16" fontId="9" fillId="4" borderId="38" xfId="0" applyNumberFormat="1" applyFont="1" applyFill="1" applyBorder="1" applyAlignment="1" applyProtection="1">
      <alignment horizontal="center"/>
      <protection locked="0"/>
    </xf>
    <xf numFmtId="0" fontId="9" fillId="4" borderId="39" xfId="0" applyFont="1" applyFill="1" applyBorder="1" applyAlignment="1" applyProtection="1">
      <alignment horizontal="center"/>
      <protection locked="0"/>
    </xf>
    <xf numFmtId="0" fontId="9" fillId="0" borderId="30" xfId="0" applyFont="1" applyBorder="1" applyAlignment="1">
      <alignment horizontal="left"/>
    </xf>
    <xf numFmtId="16" fontId="9" fillId="4" borderId="11" xfId="0" applyNumberFormat="1" applyFont="1" applyFill="1" applyBorder="1" applyAlignment="1" applyProtection="1">
      <alignment horizontal="center"/>
      <protection locked="0"/>
    </xf>
    <xf numFmtId="164" fontId="9" fillId="4" borderId="32" xfId="0" applyNumberFormat="1" applyFont="1" applyFill="1" applyBorder="1" applyAlignment="1" applyProtection="1">
      <alignment horizontal="center"/>
      <protection locked="0"/>
    </xf>
    <xf numFmtId="164" fontId="9" fillId="4" borderId="35" xfId="0" applyNumberFormat="1" applyFont="1" applyFill="1" applyBorder="1" applyAlignment="1" applyProtection="1">
      <alignment horizontal="center"/>
      <protection locked="0"/>
    </xf>
    <xf numFmtId="0" fontId="9" fillId="4" borderId="11" xfId="0" applyFont="1" applyFill="1" applyBorder="1" applyAlignment="1" applyProtection="1">
      <alignment horizontal="left"/>
      <protection locked="0"/>
    </xf>
    <xf numFmtId="0" fontId="9" fillId="4" borderId="7" xfId="0" applyFont="1" applyFill="1" applyBorder="1" applyAlignment="1" applyProtection="1">
      <alignment horizontal="left"/>
      <protection locked="0"/>
    </xf>
    <xf numFmtId="0" fontId="9" fillId="4" borderId="12" xfId="0" applyFont="1" applyFill="1" applyBorder="1" applyAlignment="1" applyProtection="1">
      <alignment horizontal="left"/>
      <protection locked="0"/>
    </xf>
    <xf numFmtId="164" fontId="8" fillId="3" borderId="17" xfId="0" applyNumberFormat="1" applyFont="1" applyFill="1" applyBorder="1" applyAlignment="1">
      <alignment horizontal="center"/>
    </xf>
    <xf numFmtId="164" fontId="8" fillId="3" borderId="18" xfId="0" applyNumberFormat="1" applyFont="1" applyFill="1" applyBorder="1" applyAlignment="1">
      <alignment horizontal="center"/>
    </xf>
    <xf numFmtId="0" fontId="9" fillId="0" borderId="13" xfId="0" applyFont="1" applyBorder="1" applyAlignment="1">
      <alignment horizontal="left"/>
    </xf>
    <xf numFmtId="0" fontId="9" fillId="0" borderId="14" xfId="0" applyFont="1" applyBorder="1" applyAlignment="1">
      <alignment horizontal="left"/>
    </xf>
    <xf numFmtId="0" fontId="9" fillId="0" borderId="7" xfId="0" applyFont="1" applyBorder="1" applyAlignment="1">
      <alignment horizontal="left"/>
    </xf>
    <xf numFmtId="0" fontId="8" fillId="6" borderId="17" xfId="0" applyFont="1" applyFill="1" applyBorder="1" applyAlignment="1">
      <alignment horizontal="left"/>
    </xf>
    <xf numFmtId="0" fontId="8" fillId="6" borderId="23" xfId="0" applyFont="1" applyFill="1" applyBorder="1" applyAlignment="1">
      <alignment horizontal="left"/>
    </xf>
    <xf numFmtId="0" fontId="8" fillId="6" borderId="18" xfId="0" applyFont="1" applyFill="1" applyBorder="1" applyAlignment="1">
      <alignment horizontal="left"/>
    </xf>
    <xf numFmtId="164" fontId="8" fillId="6" borderId="17" xfId="0" applyNumberFormat="1" applyFont="1" applyFill="1" applyBorder="1" applyAlignment="1">
      <alignment horizontal="center"/>
    </xf>
    <xf numFmtId="164" fontId="8" fillId="6" borderId="18" xfId="0" applyNumberFormat="1" applyFont="1" applyFill="1" applyBorder="1" applyAlignment="1">
      <alignment horizontal="center"/>
    </xf>
    <xf numFmtId="164" fontId="9" fillId="0" borderId="7" xfId="0" applyNumberFormat="1" applyFont="1" applyBorder="1" applyAlignment="1">
      <alignment horizontal="center"/>
    </xf>
    <xf numFmtId="164" fontId="9" fillId="0" borderId="25" xfId="0" applyNumberFormat="1" applyFont="1" applyBorder="1" applyAlignment="1">
      <alignment horizontal="center"/>
    </xf>
    <xf numFmtId="164" fontId="9" fillId="0" borderId="14" xfId="0" applyNumberFormat="1" applyFont="1" applyBorder="1" applyAlignment="1">
      <alignment horizontal="center"/>
    </xf>
    <xf numFmtId="164" fontId="9" fillId="0" borderId="26" xfId="0" applyNumberFormat="1" applyFont="1" applyBorder="1" applyAlignment="1">
      <alignment horizontal="center"/>
    </xf>
    <xf numFmtId="0" fontId="9" fillId="4" borderId="13" xfId="0" applyFont="1" applyFill="1" applyBorder="1" applyAlignment="1" applyProtection="1">
      <alignment horizontal="left"/>
      <protection locked="0"/>
    </xf>
    <xf numFmtId="0" fontId="9" fillId="4" borderId="14" xfId="0" applyFont="1" applyFill="1" applyBorder="1" applyAlignment="1" applyProtection="1">
      <alignment horizontal="left"/>
      <protection locked="0"/>
    </xf>
    <xf numFmtId="0" fontId="9" fillId="4" borderId="15" xfId="0" applyFont="1" applyFill="1" applyBorder="1" applyAlignment="1" applyProtection="1">
      <alignment horizontal="left"/>
      <protection locked="0"/>
    </xf>
    <xf numFmtId="164" fontId="8" fillId="0" borderId="7" xfId="0" applyNumberFormat="1" applyFont="1" applyBorder="1" applyAlignment="1">
      <alignment horizontal="center"/>
    </xf>
    <xf numFmtId="164" fontId="8" fillId="0" borderId="12" xfId="0" applyNumberFormat="1" applyFont="1" applyBorder="1" applyAlignment="1">
      <alignment horizontal="center"/>
    </xf>
    <xf numFmtId="0" fontId="8" fillId="0" borderId="9" xfId="0" applyFont="1" applyBorder="1" applyAlignment="1">
      <alignment horizontal="left"/>
    </xf>
    <xf numFmtId="0" fontId="8" fillId="0" borderId="24" xfId="0" applyFont="1" applyBorder="1" applyAlignment="1">
      <alignment horizontal="left"/>
    </xf>
    <xf numFmtId="0" fontId="12" fillId="3" borderId="70" xfId="0" applyFont="1" applyFill="1" applyBorder="1" applyAlignment="1">
      <alignment horizontal="left" wrapText="1"/>
    </xf>
    <xf numFmtId="0" fontId="12" fillId="3" borderId="0" xfId="0" applyFont="1" applyFill="1" applyAlignment="1">
      <alignment horizontal="left" wrapText="1"/>
    </xf>
    <xf numFmtId="0" fontId="8" fillId="0" borderId="20" xfId="0" applyFont="1" applyBorder="1" applyAlignment="1">
      <alignment horizontal="center"/>
    </xf>
    <xf numFmtId="0" fontId="8" fillId="0" borderId="21" xfId="0" applyFont="1" applyBorder="1" applyAlignment="1">
      <alignment horizontal="center"/>
    </xf>
    <xf numFmtId="0" fontId="8" fillId="0" borderId="22" xfId="0" applyFont="1" applyBorder="1" applyAlignment="1">
      <alignment horizontal="center"/>
    </xf>
    <xf numFmtId="0" fontId="8" fillId="0" borderId="39" xfId="0" applyFont="1" applyBorder="1" applyAlignment="1">
      <alignment horizontal="center"/>
    </xf>
    <xf numFmtId="0" fontId="8" fillId="0" borderId="34" xfId="0" applyFont="1" applyBorder="1" applyAlignment="1">
      <alignment horizontal="center"/>
    </xf>
    <xf numFmtId="0" fontId="9" fillId="4" borderId="29" xfId="0" applyFont="1" applyFill="1" applyBorder="1" applyAlignment="1" applyProtection="1">
      <alignment horizontal="center"/>
      <protection locked="0"/>
    </xf>
    <xf numFmtId="0" fontId="9" fillId="4" borderId="14" xfId="0" applyFont="1" applyFill="1" applyBorder="1" applyAlignment="1" applyProtection="1">
      <alignment horizontal="center"/>
      <protection locked="0"/>
    </xf>
    <xf numFmtId="164" fontId="8" fillId="0" borderId="14" xfId="0" applyNumberFormat="1" applyFont="1" applyBorder="1" applyAlignment="1">
      <alignment horizontal="center"/>
    </xf>
    <xf numFmtId="164" fontId="8" fillId="0" borderId="15" xfId="0" applyNumberFormat="1" applyFont="1" applyBorder="1" applyAlignment="1">
      <alignment horizontal="center"/>
    </xf>
    <xf numFmtId="0" fontId="9" fillId="4" borderId="15" xfId="0" applyFont="1" applyFill="1" applyBorder="1" applyAlignment="1" applyProtection="1">
      <alignment horizontal="center"/>
      <protection locked="0"/>
    </xf>
    <xf numFmtId="0" fontId="8" fillId="0" borderId="8" xfId="0" applyFont="1" applyBorder="1" applyAlignment="1">
      <alignment horizontal="left"/>
    </xf>
    <xf numFmtId="0" fontId="8" fillId="0" borderId="40" xfId="0" applyFont="1" applyBorder="1" applyAlignment="1">
      <alignment horizontal="left"/>
    </xf>
    <xf numFmtId="0" fontId="8" fillId="0" borderId="41" xfId="0" applyFont="1" applyBorder="1" applyAlignment="1">
      <alignment horizontal="left"/>
    </xf>
    <xf numFmtId="0" fontId="8" fillId="0" borderId="42" xfId="0" applyFont="1" applyBorder="1" applyAlignment="1">
      <alignment horizontal="left"/>
    </xf>
    <xf numFmtId="164" fontId="9" fillId="4" borderId="53" xfId="0" applyNumberFormat="1" applyFont="1" applyFill="1" applyBorder="1" applyAlignment="1" applyProtection="1">
      <alignment horizontal="center"/>
      <protection locked="0"/>
    </xf>
    <xf numFmtId="0" fontId="9" fillId="0" borderId="40" xfId="0" applyFont="1" applyBorder="1" applyAlignment="1">
      <alignment horizontal="left"/>
    </xf>
    <xf numFmtId="0" fontId="9" fillId="0" borderId="41" xfId="0" applyFont="1" applyBorder="1" applyAlignment="1">
      <alignment horizontal="left"/>
    </xf>
    <xf numFmtId="0" fontId="9" fillId="0" borderId="44" xfId="0" applyFont="1" applyBorder="1" applyAlignment="1">
      <alignment horizontal="left"/>
    </xf>
    <xf numFmtId="0" fontId="9" fillId="0" borderId="17" xfId="0" applyFont="1" applyBorder="1" applyAlignment="1">
      <alignment horizontal="left"/>
    </xf>
    <xf numFmtId="0" fontId="9" fillId="0" borderId="18" xfId="0" applyFont="1" applyBorder="1" applyAlignment="1">
      <alignment horizontal="left"/>
    </xf>
    <xf numFmtId="0" fontId="2" fillId="3" borderId="21" xfId="0" applyFont="1" applyFill="1" applyBorder="1" applyAlignment="1" applyProtection="1">
      <alignment horizontal="left"/>
      <protection locked="0"/>
    </xf>
    <xf numFmtId="0" fontId="2" fillId="3" borderId="22" xfId="0" applyFont="1" applyFill="1" applyBorder="1" applyAlignment="1" applyProtection="1">
      <alignment horizontal="left"/>
      <protection locked="0"/>
    </xf>
    <xf numFmtId="0" fontId="2" fillId="3" borderId="21" xfId="0" applyFont="1" applyFill="1" applyBorder="1" applyAlignment="1" applyProtection="1">
      <alignment horizontal="center"/>
      <protection locked="0"/>
    </xf>
    <xf numFmtId="0" fontId="9" fillId="0" borderId="51" xfId="0" applyFont="1" applyBorder="1" applyAlignment="1">
      <alignment horizontal="center"/>
    </xf>
    <xf numFmtId="0" fontId="9" fillId="0" borderId="19" xfId="0" applyFont="1" applyBorder="1" applyAlignment="1">
      <alignment horizontal="center"/>
    </xf>
    <xf numFmtId="0" fontId="9" fillId="0" borderId="68" xfId="0" applyFont="1" applyBorder="1" applyAlignment="1">
      <alignment horizontal="center"/>
    </xf>
    <xf numFmtId="0" fontId="9" fillId="0" borderId="8" xfId="0" applyFont="1" applyBorder="1" applyAlignment="1">
      <alignment horizontal="left"/>
    </xf>
    <xf numFmtId="0" fontId="9" fillId="0" borderId="9" xfId="0" applyFont="1" applyBorder="1" applyAlignment="1">
      <alignment horizontal="left"/>
    </xf>
    <xf numFmtId="0" fontId="9" fillId="0" borderId="10" xfId="0" applyFont="1" applyBorder="1" applyAlignment="1">
      <alignment horizontal="left"/>
    </xf>
    <xf numFmtId="0" fontId="4" fillId="3" borderId="27" xfId="0" applyFont="1" applyFill="1" applyBorder="1" applyAlignment="1">
      <alignment horizontal="left"/>
    </xf>
    <xf numFmtId="0" fontId="4" fillId="3" borderId="30" xfId="0" applyFont="1" applyFill="1" applyBorder="1" applyAlignment="1">
      <alignment horizontal="left"/>
    </xf>
    <xf numFmtId="0" fontId="4" fillId="3" borderId="17" xfId="0" applyFont="1" applyFill="1" applyBorder="1" applyAlignment="1">
      <alignment horizontal="left"/>
    </xf>
    <xf numFmtId="0" fontId="9" fillId="4" borderId="32" xfId="0" applyFont="1" applyFill="1" applyBorder="1" applyAlignment="1" applyProtection="1">
      <alignment horizontal="center"/>
      <protection locked="0"/>
    </xf>
    <xf numFmtId="0" fontId="9" fillId="4" borderId="35" xfId="0" applyFont="1" applyFill="1" applyBorder="1" applyAlignment="1" applyProtection="1">
      <alignment horizontal="center"/>
      <protection locked="0"/>
    </xf>
    <xf numFmtId="0" fontId="9" fillId="4" borderId="36" xfId="0" applyFont="1" applyFill="1" applyBorder="1" applyAlignment="1" applyProtection="1">
      <alignment horizontal="center"/>
      <protection locked="0"/>
    </xf>
    <xf numFmtId="0" fontId="9" fillId="4" borderId="37" xfId="0" applyFont="1" applyFill="1" applyBorder="1" applyAlignment="1" applyProtection="1">
      <alignment horizontal="center"/>
      <protection locked="0"/>
    </xf>
    <xf numFmtId="164" fontId="9" fillId="4" borderId="36" xfId="0" applyNumberFormat="1" applyFont="1" applyFill="1" applyBorder="1" applyAlignment="1" applyProtection="1">
      <alignment horizontal="center"/>
      <protection locked="0"/>
    </xf>
    <xf numFmtId="164" fontId="9" fillId="4" borderId="52" xfId="0" applyNumberFormat="1" applyFont="1" applyFill="1" applyBorder="1" applyAlignment="1" applyProtection="1">
      <alignment horizontal="center"/>
      <protection locked="0"/>
    </xf>
    <xf numFmtId="165" fontId="9" fillId="0" borderId="52" xfId="0" applyNumberFormat="1" applyFont="1" applyBorder="1" applyAlignment="1" applyProtection="1">
      <alignment horizontal="center"/>
      <protection locked="0"/>
    </xf>
    <xf numFmtId="165" fontId="9" fillId="0" borderId="37" xfId="0" applyNumberFormat="1" applyFont="1" applyBorder="1" applyAlignment="1" applyProtection="1">
      <alignment horizontal="center"/>
      <protection locked="0"/>
    </xf>
    <xf numFmtId="164" fontId="9" fillId="4" borderId="33" xfId="0" applyNumberFormat="1" applyFont="1" applyFill="1" applyBorder="1" applyAlignment="1" applyProtection="1">
      <alignment horizontal="center"/>
      <protection locked="0"/>
    </xf>
    <xf numFmtId="164" fontId="9" fillId="4" borderId="54" xfId="0" applyNumberFormat="1" applyFont="1" applyFill="1" applyBorder="1" applyAlignment="1" applyProtection="1">
      <alignment horizontal="center"/>
      <protection locked="0"/>
    </xf>
    <xf numFmtId="0" fontId="8" fillId="3" borderId="23" xfId="0" applyFont="1" applyFill="1" applyBorder="1" applyAlignment="1">
      <alignment horizontal="center"/>
    </xf>
    <xf numFmtId="164" fontId="9" fillId="4" borderId="45" xfId="0" applyNumberFormat="1" applyFont="1" applyFill="1" applyBorder="1" applyAlignment="1" applyProtection="1">
      <alignment horizontal="center"/>
      <protection locked="0"/>
    </xf>
    <xf numFmtId="164" fontId="9" fillId="4" borderId="46" xfId="0" applyNumberFormat="1" applyFont="1" applyFill="1" applyBorder="1" applyAlignment="1" applyProtection="1">
      <alignment horizontal="center"/>
      <protection locked="0"/>
    </xf>
    <xf numFmtId="0" fontId="8" fillId="5" borderId="20" xfId="0" applyFont="1" applyFill="1" applyBorder="1" applyAlignment="1">
      <alignment horizontal="left"/>
    </xf>
    <xf numFmtId="0" fontId="8" fillId="5" borderId="21" xfId="0" applyFont="1" applyFill="1" applyBorder="1" applyAlignment="1">
      <alignment horizontal="left"/>
    </xf>
    <xf numFmtId="0" fontId="8" fillId="5" borderId="27" xfId="0" applyFont="1" applyFill="1" applyBorder="1" applyAlignment="1">
      <alignment horizontal="left"/>
    </xf>
    <xf numFmtId="164" fontId="8" fillId="5" borderId="20" xfId="0" applyNumberFormat="1" applyFont="1" applyFill="1" applyBorder="1" applyAlignment="1" applyProtection="1">
      <alignment horizontal="center"/>
      <protection locked="0"/>
    </xf>
    <xf numFmtId="164" fontId="8" fillId="5" borderId="22" xfId="0" applyNumberFormat="1" applyFont="1" applyFill="1" applyBorder="1" applyAlignment="1" applyProtection="1">
      <alignment horizontal="center"/>
      <protection locked="0"/>
    </xf>
    <xf numFmtId="0" fontId="4" fillId="3" borderId="0" xfId="0" applyFont="1" applyFill="1" applyAlignment="1">
      <alignment horizontal="left"/>
    </xf>
    <xf numFmtId="0" fontId="8" fillId="3" borderId="20" xfId="0" applyFont="1" applyFill="1" applyBorder="1" applyAlignment="1">
      <alignment horizontal="left"/>
    </xf>
    <xf numFmtId="0" fontId="8" fillId="3" borderId="21" xfId="0" applyFont="1" applyFill="1" applyBorder="1" applyAlignment="1">
      <alignment horizontal="left"/>
    </xf>
    <xf numFmtId="0" fontId="8" fillId="3" borderId="22" xfId="0" applyFont="1" applyFill="1" applyBorder="1" applyAlignment="1">
      <alignment horizontal="left"/>
    </xf>
    <xf numFmtId="0" fontId="9" fillId="0" borderId="15" xfId="0" applyFont="1" applyBorder="1" applyAlignment="1">
      <alignment horizontal="left"/>
    </xf>
    <xf numFmtId="164" fontId="9" fillId="4" borderId="37" xfId="0" applyNumberFormat="1" applyFont="1" applyFill="1" applyBorder="1" applyAlignment="1" applyProtection="1">
      <alignment horizontal="center"/>
      <protection locked="0"/>
    </xf>
    <xf numFmtId="0" fontId="9" fillId="0" borderId="43" xfId="0" applyFont="1" applyBorder="1" applyAlignment="1">
      <alignment horizontal="center"/>
    </xf>
    <xf numFmtId="0" fontId="9" fillId="0" borderId="16" xfId="0" applyFont="1" applyBorder="1" applyAlignment="1">
      <alignment horizontal="center"/>
    </xf>
    <xf numFmtId="0" fontId="9" fillId="4" borderId="38" xfId="0" applyFont="1" applyFill="1" applyBorder="1" applyAlignment="1" applyProtection="1">
      <alignment horizontal="left"/>
      <protection locked="0"/>
    </xf>
    <xf numFmtId="0" fontId="9" fillId="4" borderId="39" xfId="0" applyFont="1" applyFill="1" applyBorder="1" applyAlignment="1" applyProtection="1">
      <alignment horizontal="left"/>
      <protection locked="0"/>
    </xf>
    <xf numFmtId="0" fontId="9" fillId="4" borderId="34" xfId="0" applyFont="1" applyFill="1" applyBorder="1" applyAlignment="1" applyProtection="1">
      <alignment horizontal="left"/>
      <protection locked="0"/>
    </xf>
    <xf numFmtId="0" fontId="9" fillId="3" borderId="19" xfId="0" applyFont="1" applyFill="1" applyBorder="1" applyAlignment="1">
      <alignment horizontal="center"/>
    </xf>
    <xf numFmtId="0" fontId="9" fillId="3" borderId="0" xfId="0" applyFont="1" applyFill="1" applyAlignment="1">
      <alignment horizontal="center"/>
    </xf>
    <xf numFmtId="0" fontId="8" fillId="5" borderId="17" xfId="0" applyFont="1" applyFill="1" applyBorder="1" applyAlignment="1">
      <alignment horizontal="left"/>
    </xf>
    <xf numFmtId="0" fontId="8" fillId="5" borderId="23" xfId="0" applyFont="1" applyFill="1" applyBorder="1" applyAlignment="1">
      <alignment horizontal="left"/>
    </xf>
    <xf numFmtId="0" fontId="8" fillId="5" borderId="18" xfId="0" applyFont="1" applyFill="1" applyBorder="1" applyAlignment="1">
      <alignment horizontal="left"/>
    </xf>
    <xf numFmtId="164" fontId="8" fillId="5" borderId="17" xfId="0" applyNumberFormat="1" applyFont="1" applyFill="1" applyBorder="1" applyAlignment="1">
      <alignment horizontal="center"/>
    </xf>
    <xf numFmtId="164" fontId="8" fillId="5" borderId="18" xfId="0" applyNumberFormat="1" applyFont="1" applyFill="1" applyBorder="1" applyAlignment="1">
      <alignment horizontal="center"/>
    </xf>
    <xf numFmtId="164" fontId="8" fillId="3" borderId="19" xfId="0" applyNumberFormat="1" applyFont="1" applyFill="1" applyBorder="1" applyAlignment="1">
      <alignment horizontal="center"/>
    </xf>
    <xf numFmtId="0" fontId="9" fillId="4" borderId="33" xfId="0" applyFont="1" applyFill="1" applyBorder="1" applyAlignment="1" applyProtection="1">
      <alignment horizontal="center"/>
      <protection locked="0"/>
    </xf>
    <xf numFmtId="0" fontId="9" fillId="4" borderId="50" xfId="0" applyFont="1" applyFill="1" applyBorder="1" applyAlignment="1" applyProtection="1">
      <alignment horizontal="center"/>
      <protection locked="0"/>
    </xf>
    <xf numFmtId="0" fontId="8" fillId="3" borderId="56" xfId="0" applyFont="1" applyFill="1" applyBorder="1" applyAlignment="1">
      <alignment horizontal="left"/>
    </xf>
    <xf numFmtId="0" fontId="8" fillId="3" borderId="57" xfId="0" applyFont="1" applyFill="1" applyBorder="1" applyAlignment="1">
      <alignment horizontal="left"/>
    </xf>
    <xf numFmtId="0" fontId="10" fillId="0" borderId="0" xfId="0" applyFont="1" applyAlignment="1">
      <alignment horizontal="left"/>
    </xf>
    <xf numFmtId="0" fontId="0" fillId="0" borderId="0" xfId="0" applyAlignment="1">
      <alignment horizontal="left"/>
    </xf>
    <xf numFmtId="0" fontId="10" fillId="0" borderId="0" xfId="0" applyFont="1" applyAlignment="1">
      <alignment horizontal="left" vertical="top" wrapText="1"/>
    </xf>
    <xf numFmtId="0" fontId="0" fillId="0" borderId="66" xfId="0" applyBorder="1" applyAlignment="1">
      <alignment horizontal="left"/>
    </xf>
    <xf numFmtId="0" fontId="10" fillId="3" borderId="20" xfId="0" applyFont="1" applyFill="1" applyBorder="1" applyAlignment="1">
      <alignment horizontal="right"/>
    </xf>
    <xf numFmtId="0" fontId="10" fillId="3" borderId="21" xfId="0" applyFont="1" applyFill="1" applyBorder="1" applyAlignment="1">
      <alignment horizontal="right"/>
    </xf>
    <xf numFmtId="0" fontId="10" fillId="3" borderId="27" xfId="0" applyFont="1" applyFill="1" applyBorder="1" applyAlignment="1">
      <alignment horizontal="right"/>
    </xf>
    <xf numFmtId="0" fontId="0" fillId="3" borderId="7" xfId="0" applyFill="1" applyBorder="1" applyAlignment="1">
      <alignment horizontal="left"/>
    </xf>
    <xf numFmtId="0" fontId="10" fillId="3" borderId="66" xfId="0" applyFont="1" applyFill="1" applyBorder="1" applyAlignment="1">
      <alignment horizontal="left"/>
    </xf>
    <xf numFmtId="0" fontId="11" fillId="3" borderId="0" xfId="0" applyFont="1" applyFill="1" applyAlignment="1">
      <alignment horizontal="left"/>
    </xf>
    <xf numFmtId="0" fontId="11" fillId="3" borderId="67" xfId="0" applyFont="1" applyFill="1" applyBorder="1" applyAlignment="1">
      <alignment horizontal="left"/>
    </xf>
    <xf numFmtId="0" fontId="10" fillId="3" borderId="0" xfId="0" applyFont="1" applyFill="1" applyAlignment="1">
      <alignment horizontal="left" vertical="top" wrapText="1"/>
    </xf>
    <xf numFmtId="0" fontId="0" fillId="3" borderId="0" xfId="0" applyFill="1" applyAlignment="1">
      <alignment horizontal="left" wrapText="1"/>
    </xf>
    <xf numFmtId="0" fontId="0" fillId="3" borderId="69" xfId="0" applyFill="1" applyBorder="1" applyAlignment="1">
      <alignment horizontal="left" vertical="top" wrapText="1"/>
    </xf>
    <xf numFmtId="0" fontId="0" fillId="3" borderId="0" xfId="0" applyFill="1" applyAlignment="1">
      <alignment horizontal="left" vertical="top" wrapText="1"/>
    </xf>
    <xf numFmtId="0" fontId="10" fillId="3" borderId="7" xfId="0" applyFont="1" applyFill="1" applyBorder="1" applyAlignment="1">
      <alignment horizontal="left" vertical="top" wrapText="1"/>
    </xf>
    <xf numFmtId="0" fontId="0" fillId="4" borderId="7" xfId="0" applyFill="1" applyBorder="1" applyAlignment="1">
      <alignment horizontal="center" vertical="top" wrapText="1"/>
    </xf>
    <xf numFmtId="0" fontId="0" fillId="3" borderId="7" xfId="0" applyFill="1" applyBorder="1" applyAlignment="1">
      <alignment horizontal="center"/>
    </xf>
    <xf numFmtId="0" fontId="0" fillId="3" borderId="19" xfId="0" applyFill="1" applyBorder="1" applyAlignment="1">
      <alignment horizontal="left" wrapText="1"/>
    </xf>
    <xf numFmtId="0" fontId="4" fillId="0" borderId="0" xfId="0" applyFont="1" applyAlignment="1">
      <alignment horizontal="left"/>
    </xf>
    <xf numFmtId="0" fontId="6" fillId="0" borderId="0" xfId="0" applyFont="1" applyAlignment="1">
      <alignment horizontal="left"/>
    </xf>
  </cellXfs>
  <cellStyles count="1">
    <cellStyle name="Standaard" xfId="0" builtinId="0"/>
  </cellStyles>
  <dxfs count="15">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b/>
        <i val="0"/>
        <color rgb="FF00B050"/>
      </font>
    </dxf>
    <dxf>
      <font>
        <b/>
        <i val="0"/>
        <color theme="5"/>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AC8B8-13CE-45BC-B5C0-D0620D4EA6BD}">
  <sheetPr>
    <pageSetUpPr fitToPage="1"/>
  </sheetPr>
  <dimension ref="A1:U46"/>
  <sheetViews>
    <sheetView tabSelected="1" zoomScaleNormal="100" workbookViewId="0">
      <pane ySplit="3" topLeftCell="A10" activePane="bottomLeft" state="frozen"/>
      <selection pane="bottomLeft" activeCell="Z21" sqref="Z21"/>
    </sheetView>
  </sheetViews>
  <sheetFormatPr defaultRowHeight="15" x14ac:dyDescent="0.25"/>
  <cols>
    <col min="1" max="1" width="1.42578125" customWidth="1"/>
    <col min="2" max="2" width="3" bestFit="1" customWidth="1"/>
    <col min="3" max="3" width="12.85546875" customWidth="1"/>
    <col min="4" max="4" width="8.42578125" bestFit="1" customWidth="1"/>
    <col min="5" max="8" width="7.140625" customWidth="1"/>
    <col min="9" max="9" width="1.42578125" customWidth="1"/>
    <col min="10" max="10" width="9.28515625" customWidth="1"/>
    <col min="11" max="12" width="8.140625" bestFit="1" customWidth="1"/>
    <col min="13" max="13" width="7.85546875" bestFit="1" customWidth="1"/>
    <col min="14" max="14" width="7.140625" customWidth="1"/>
    <col min="15" max="15" width="8.5703125" bestFit="1" customWidth="1"/>
    <col min="16" max="16" width="7.140625" customWidth="1"/>
  </cols>
  <sheetData>
    <row r="1" spans="1:18" ht="12" customHeight="1" thickBot="1" x14ac:dyDescent="0.3">
      <c r="A1" s="26"/>
      <c r="B1" s="280" t="s">
        <v>0</v>
      </c>
      <c r="C1" s="280"/>
      <c r="D1" s="27"/>
      <c r="E1" s="27"/>
      <c r="F1" s="27"/>
      <c r="G1" s="46"/>
      <c r="H1" s="27"/>
      <c r="I1" s="27"/>
      <c r="J1" s="27"/>
      <c r="K1" s="27"/>
      <c r="L1" s="27"/>
      <c r="M1" s="26"/>
      <c r="N1" s="26"/>
      <c r="O1" s="26"/>
      <c r="P1" s="26"/>
      <c r="Q1" s="26"/>
      <c r="R1" s="26"/>
    </row>
    <row r="2" spans="1:18" ht="15.75" thickBot="1" x14ac:dyDescent="0.3">
      <c r="A2" s="26"/>
      <c r="B2" s="261" t="s">
        <v>1</v>
      </c>
      <c r="C2" s="260"/>
      <c r="D2" s="250" t="s">
        <v>106</v>
      </c>
      <c r="E2" s="250"/>
      <c r="F2" s="259" t="s">
        <v>4</v>
      </c>
      <c r="G2" s="260"/>
      <c r="H2" s="252"/>
      <c r="I2" s="252"/>
      <c r="J2" s="252"/>
      <c r="K2" s="259" t="s">
        <v>5</v>
      </c>
      <c r="L2" s="260"/>
      <c r="M2" s="61">
        <v>38</v>
      </c>
      <c r="N2" s="47" t="s">
        <v>3</v>
      </c>
      <c r="O2" s="62">
        <v>2025</v>
      </c>
      <c r="P2" s="42" t="s">
        <v>50</v>
      </c>
      <c r="Q2" s="250" t="s">
        <v>7</v>
      </c>
      <c r="R2" s="251"/>
    </row>
    <row r="3" spans="1:18" ht="6" customHeight="1" thickBot="1" x14ac:dyDescent="0.3">
      <c r="A3" s="26"/>
      <c r="B3" s="26"/>
      <c r="C3" s="28"/>
      <c r="D3" s="27"/>
      <c r="E3" s="27"/>
      <c r="F3" s="27"/>
      <c r="G3" s="46"/>
      <c r="H3" s="29"/>
      <c r="I3" s="29"/>
      <c r="J3" s="46"/>
      <c r="K3" s="27"/>
      <c r="L3" s="46"/>
      <c r="M3" s="26"/>
      <c r="N3" s="26"/>
      <c r="O3" s="26"/>
      <c r="P3" s="26"/>
      <c r="Q3" s="26"/>
      <c r="R3" s="26"/>
    </row>
    <row r="4" spans="1:18" s="25" customFormat="1" ht="13.5" thickBot="1" x14ac:dyDescent="0.25">
      <c r="A4" s="30"/>
      <c r="B4" s="241" t="str">
        <f>_xlfn.CONCAT("Verlofuren ",O2-1)</f>
        <v>Verlofuren 2024</v>
      </c>
      <c r="C4" s="242"/>
      <c r="D4" s="243"/>
      <c r="E4" s="286"/>
      <c r="F4" s="287"/>
      <c r="G4" s="287"/>
      <c r="H4" s="30"/>
      <c r="I4" s="30"/>
      <c r="J4" s="241" t="s">
        <v>38</v>
      </c>
      <c r="K4" s="242"/>
      <c r="L4" s="243"/>
      <c r="M4" s="253"/>
      <c r="N4" s="254"/>
      <c r="O4" s="254"/>
      <c r="P4" s="255"/>
      <c r="Q4" s="53" t="s">
        <v>45</v>
      </c>
      <c r="R4" s="116" t="s">
        <v>46</v>
      </c>
    </row>
    <row r="5" spans="1:18" s="25" customFormat="1" ht="13.5" thickBot="1" x14ac:dyDescent="0.25">
      <c r="A5" s="30"/>
      <c r="B5" s="190" t="s">
        <v>33</v>
      </c>
      <c r="C5" s="191"/>
      <c r="D5" s="192"/>
      <c r="E5" s="186">
        <v>40</v>
      </c>
      <c r="F5" s="187"/>
      <c r="G5" s="112" t="s">
        <v>35</v>
      </c>
      <c r="H5" s="30"/>
      <c r="I5" s="30"/>
      <c r="J5" s="256" t="s">
        <v>107</v>
      </c>
      <c r="K5" s="257"/>
      <c r="L5" s="258"/>
      <c r="M5" s="266">
        <v>14.5</v>
      </c>
      <c r="N5" s="267"/>
      <c r="O5" s="256" t="s">
        <v>35</v>
      </c>
      <c r="P5" s="258"/>
      <c r="Q5" s="268" t="s">
        <v>108</v>
      </c>
      <c r="R5" s="269"/>
    </row>
    <row r="6" spans="1:18" s="25" customFormat="1" ht="13.5" thickBot="1" x14ac:dyDescent="0.25">
      <c r="A6" s="30"/>
      <c r="B6" s="40"/>
      <c r="C6" s="40"/>
      <c r="D6" s="40"/>
      <c r="E6" s="111"/>
      <c r="F6" s="111"/>
      <c r="G6" s="30"/>
      <c r="H6" s="30"/>
      <c r="I6" s="30"/>
      <c r="J6" s="182" t="s">
        <v>53</v>
      </c>
      <c r="K6" s="211"/>
      <c r="L6" s="183"/>
      <c r="M6" s="202">
        <v>6</v>
      </c>
      <c r="N6" s="244"/>
      <c r="O6" s="182" t="s">
        <v>35</v>
      </c>
      <c r="P6" s="183"/>
      <c r="Q6" s="184">
        <v>45807</v>
      </c>
      <c r="R6" s="185"/>
    </row>
    <row r="7" spans="1:18" s="25" customFormat="1" ht="13.5" thickBot="1" x14ac:dyDescent="0.25">
      <c r="A7" s="30"/>
      <c r="B7" s="241" t="str">
        <f>_xlfn.CONCAT("Verlofuren ",O2)</f>
        <v>Verlofuren 2025</v>
      </c>
      <c r="C7" s="242"/>
      <c r="D7" s="243"/>
      <c r="E7" s="111"/>
      <c r="F7" s="111"/>
      <c r="G7" s="30"/>
      <c r="H7" s="30"/>
      <c r="I7" s="30"/>
      <c r="J7" s="182" t="s">
        <v>39</v>
      </c>
      <c r="K7" s="211"/>
      <c r="L7" s="183"/>
      <c r="M7" s="202">
        <v>120</v>
      </c>
      <c r="N7" s="244"/>
      <c r="O7" s="182" t="s">
        <v>35</v>
      </c>
      <c r="P7" s="183"/>
      <c r="Q7" s="57">
        <v>45859</v>
      </c>
      <c r="R7" s="58">
        <v>45877</v>
      </c>
    </row>
    <row r="8" spans="1:18" s="25" customFormat="1" ht="13.5" thickBot="1" x14ac:dyDescent="0.25">
      <c r="A8" s="30"/>
      <c r="B8" s="256" t="s">
        <v>34</v>
      </c>
      <c r="C8" s="257"/>
      <c r="D8" s="258"/>
      <c r="E8" s="264">
        <v>200</v>
      </c>
      <c r="F8" s="265"/>
      <c r="G8" s="50" t="s">
        <v>35</v>
      </c>
      <c r="H8" s="30"/>
      <c r="I8" s="30"/>
      <c r="J8" s="209" t="s">
        <v>56</v>
      </c>
      <c r="K8" s="210"/>
      <c r="L8" s="284"/>
      <c r="M8" s="270"/>
      <c r="N8" s="271"/>
      <c r="O8" s="209" t="s">
        <v>35</v>
      </c>
      <c r="P8" s="284"/>
      <c r="Q8" s="59"/>
      <c r="R8" s="60"/>
    </row>
    <row r="9" spans="1:18" s="25" customFormat="1" ht="13.5" thickBot="1" x14ac:dyDescent="0.25">
      <c r="A9" s="30"/>
      <c r="B9" s="182" t="s">
        <v>37</v>
      </c>
      <c r="C9" s="211"/>
      <c r="D9" s="183"/>
      <c r="E9" s="262">
        <v>104</v>
      </c>
      <c r="F9" s="263"/>
      <c r="G9" s="51" t="s">
        <v>35</v>
      </c>
      <c r="H9" s="30"/>
      <c r="I9" s="30"/>
      <c r="J9" s="281" t="s">
        <v>40</v>
      </c>
      <c r="K9" s="282"/>
      <c r="L9" s="283"/>
      <c r="M9" s="207">
        <f>SUM(M5:N8)</f>
        <v>140.5</v>
      </c>
      <c r="N9" s="272"/>
      <c r="O9" s="301" t="s">
        <v>35</v>
      </c>
      <c r="P9" s="302"/>
      <c r="Q9" s="30"/>
      <c r="R9" s="30"/>
    </row>
    <row r="10" spans="1:18" s="25" customFormat="1" ht="13.5" thickBot="1" x14ac:dyDescent="0.25">
      <c r="A10" s="30"/>
      <c r="B10" s="209" t="s">
        <v>41</v>
      </c>
      <c r="C10" s="210"/>
      <c r="D10" s="284"/>
      <c r="E10" s="299">
        <v>0</v>
      </c>
      <c r="F10" s="300"/>
      <c r="G10" s="52" t="s">
        <v>35</v>
      </c>
      <c r="H10" s="30"/>
      <c r="I10" s="30"/>
      <c r="J10" s="291"/>
      <c r="K10" s="291"/>
      <c r="L10" s="291"/>
      <c r="M10" s="291"/>
      <c r="N10" s="291"/>
      <c r="O10" s="292"/>
      <c r="P10" s="292"/>
      <c r="Q10" s="30"/>
      <c r="R10" s="30"/>
    </row>
    <row r="11" spans="1:18" s="25" customFormat="1" ht="13.5" thickBot="1" x14ac:dyDescent="0.25">
      <c r="A11" s="30"/>
      <c r="B11" s="281" t="s">
        <v>36</v>
      </c>
      <c r="C11" s="282"/>
      <c r="D11" s="283"/>
      <c r="E11" s="207">
        <f>SUM(E8:F10)</f>
        <v>304</v>
      </c>
      <c r="F11" s="208"/>
      <c r="G11" s="126" t="s">
        <v>35</v>
      </c>
      <c r="H11" s="30"/>
      <c r="I11" s="30"/>
      <c r="J11" s="293" t="str">
        <f>_xlfn.CONCAT("Totaal vrije verlofuren ",O2)</f>
        <v>Totaal vrije verlofuren 2025</v>
      </c>
      <c r="K11" s="294"/>
      <c r="L11" s="295"/>
      <c r="M11" s="296">
        <f>E11-M9</f>
        <v>163.5</v>
      </c>
      <c r="N11" s="297"/>
      <c r="O11" s="293" t="s">
        <v>35</v>
      </c>
      <c r="P11" s="295"/>
      <c r="Q11" s="30"/>
      <c r="R11" s="30"/>
    </row>
    <row r="12" spans="1:18" s="25" customFormat="1" ht="13.5" thickBot="1" x14ac:dyDescent="0.25">
      <c r="A12" s="30"/>
      <c r="B12" s="113"/>
      <c r="C12" s="113"/>
      <c r="D12" s="113"/>
      <c r="E12" s="114"/>
      <c r="F12" s="114"/>
      <c r="G12" s="115"/>
      <c r="H12" s="30"/>
      <c r="I12" s="30"/>
      <c r="J12" s="113"/>
      <c r="K12" s="113"/>
      <c r="L12" s="113"/>
      <c r="M12" s="298"/>
      <c r="N12" s="298"/>
      <c r="O12" s="113"/>
      <c r="P12" s="113"/>
      <c r="Q12" s="30"/>
      <c r="R12" s="30"/>
    </row>
    <row r="13" spans="1:18" s="25" customFormat="1" ht="13.5" thickBot="1" x14ac:dyDescent="0.25">
      <c r="A13" s="30"/>
      <c r="B13" s="31" t="s">
        <v>43</v>
      </c>
      <c r="C13" s="32"/>
      <c r="D13" s="33"/>
      <c r="E13" s="34"/>
      <c r="F13" s="35"/>
      <c r="G13" s="35"/>
      <c r="H13" s="36"/>
      <c r="I13" s="36"/>
      <c r="J13" s="36"/>
      <c r="K13" s="30"/>
      <c r="L13" s="30"/>
      <c r="M13" s="30"/>
      <c r="N13" s="30"/>
      <c r="O13" s="30"/>
      <c r="P13" s="30"/>
      <c r="Q13" s="30"/>
      <c r="R13" s="30"/>
    </row>
    <row r="14" spans="1:18" s="25" customFormat="1" ht="13.5" thickBot="1" x14ac:dyDescent="0.25">
      <c r="A14" s="30"/>
      <c r="B14" s="37"/>
      <c r="C14" s="248" t="s">
        <v>48</v>
      </c>
      <c r="D14" s="249"/>
      <c r="E14" s="248" t="s">
        <v>42</v>
      </c>
      <c r="F14" s="249"/>
      <c r="G14" s="53"/>
      <c r="H14" s="190" t="s">
        <v>49</v>
      </c>
      <c r="I14" s="191"/>
      <c r="J14" s="191"/>
      <c r="K14" s="191"/>
      <c r="L14" s="192"/>
      <c r="M14" s="200" t="s">
        <v>45</v>
      </c>
      <c r="N14" s="191"/>
      <c r="O14" s="191" t="s">
        <v>46</v>
      </c>
      <c r="P14" s="192"/>
      <c r="Q14" s="30"/>
      <c r="R14" s="30"/>
    </row>
    <row r="15" spans="1:18" s="25" customFormat="1" ht="12.75" x14ac:dyDescent="0.2">
      <c r="A15" s="30"/>
      <c r="B15" s="38">
        <v>1</v>
      </c>
      <c r="C15" s="182" t="s">
        <v>27</v>
      </c>
      <c r="D15" s="211"/>
      <c r="E15" s="266"/>
      <c r="F15" s="285"/>
      <c r="G15" s="54" t="str">
        <f>IF(E15="","","uur")</f>
        <v/>
      </c>
      <c r="H15" s="288"/>
      <c r="I15" s="289"/>
      <c r="J15" s="289"/>
      <c r="K15" s="289"/>
      <c r="L15" s="290"/>
      <c r="M15" s="198"/>
      <c r="N15" s="199"/>
      <c r="O15" s="194"/>
      <c r="P15" s="195"/>
      <c r="Q15" s="30"/>
      <c r="R15" s="30"/>
    </row>
    <row r="16" spans="1:18" s="25" customFormat="1" ht="12.75" x14ac:dyDescent="0.2">
      <c r="A16" s="30"/>
      <c r="B16" s="39">
        <v>2</v>
      </c>
      <c r="C16" s="182" t="s">
        <v>26</v>
      </c>
      <c r="D16" s="211"/>
      <c r="E16" s="202"/>
      <c r="F16" s="203"/>
      <c r="G16" s="55" t="str">
        <f t="shared" ref="G16:G26" si="0">IF(E16="","","uur")</f>
        <v/>
      </c>
      <c r="H16" s="204"/>
      <c r="I16" s="205"/>
      <c r="J16" s="205"/>
      <c r="K16" s="205"/>
      <c r="L16" s="206"/>
      <c r="M16" s="201"/>
      <c r="N16" s="188"/>
      <c r="O16" s="193"/>
      <c r="P16" s="189"/>
      <c r="Q16" s="30"/>
      <c r="R16" s="30"/>
    </row>
    <row r="17" spans="1:21" s="25" customFormat="1" ht="12.75" x14ac:dyDescent="0.2">
      <c r="A17" s="30"/>
      <c r="B17" s="39">
        <v>3</v>
      </c>
      <c r="C17" s="182" t="s">
        <v>25</v>
      </c>
      <c r="D17" s="211"/>
      <c r="E17" s="202">
        <v>31.25</v>
      </c>
      <c r="F17" s="203"/>
      <c r="G17" s="55" t="str">
        <f t="shared" si="0"/>
        <v>uur</v>
      </c>
      <c r="H17" s="204"/>
      <c r="I17" s="205"/>
      <c r="J17" s="205"/>
      <c r="K17" s="205"/>
      <c r="L17" s="206"/>
      <c r="M17" s="201"/>
      <c r="N17" s="188"/>
      <c r="O17" s="193"/>
      <c r="P17" s="189"/>
      <c r="Q17" s="30"/>
      <c r="R17" s="30"/>
    </row>
    <row r="18" spans="1:21" s="25" customFormat="1" ht="12.75" x14ac:dyDescent="0.2">
      <c r="A18" s="30"/>
      <c r="B18" s="39">
        <v>4</v>
      </c>
      <c r="C18" s="182" t="s">
        <v>24</v>
      </c>
      <c r="D18" s="211"/>
      <c r="E18" s="202">
        <v>14.5</v>
      </c>
      <c r="F18" s="203"/>
      <c r="G18" s="55" t="str">
        <f t="shared" si="0"/>
        <v>uur</v>
      </c>
      <c r="H18" s="204" t="s">
        <v>114</v>
      </c>
      <c r="I18" s="205"/>
      <c r="J18" s="205"/>
      <c r="K18" s="205"/>
      <c r="L18" s="206"/>
      <c r="M18" s="197"/>
      <c r="N18" s="188"/>
      <c r="O18" s="193"/>
      <c r="P18" s="189"/>
      <c r="Q18" s="30"/>
      <c r="R18" s="30"/>
    </row>
    <row r="19" spans="1:21" s="25" customFormat="1" ht="12.75" x14ac:dyDescent="0.2">
      <c r="A19" s="30"/>
      <c r="B19" s="39">
        <v>5</v>
      </c>
      <c r="C19" s="182" t="s">
        <v>23</v>
      </c>
      <c r="D19" s="211"/>
      <c r="E19" s="202">
        <v>9.25</v>
      </c>
      <c r="F19" s="203"/>
      <c r="G19" s="55" t="str">
        <f t="shared" si="0"/>
        <v>uur</v>
      </c>
      <c r="H19" s="204" t="s">
        <v>113</v>
      </c>
      <c r="I19" s="205"/>
      <c r="J19" s="205"/>
      <c r="K19" s="205"/>
      <c r="L19" s="206"/>
      <c r="M19" s="196"/>
      <c r="N19" s="188"/>
      <c r="O19" s="188"/>
      <c r="P19" s="189"/>
      <c r="Q19" s="30"/>
      <c r="R19" s="30"/>
    </row>
    <row r="20" spans="1:21" s="25" customFormat="1" ht="12.75" x14ac:dyDescent="0.2">
      <c r="A20" s="30"/>
      <c r="B20" s="39">
        <v>6</v>
      </c>
      <c r="C20" s="182" t="s">
        <v>22</v>
      </c>
      <c r="D20" s="211"/>
      <c r="E20" s="202">
        <v>34.5</v>
      </c>
      <c r="F20" s="203"/>
      <c r="G20" s="55" t="str">
        <f t="shared" si="0"/>
        <v>uur</v>
      </c>
      <c r="H20" s="204" t="s">
        <v>112</v>
      </c>
      <c r="I20" s="205"/>
      <c r="J20" s="205"/>
      <c r="K20" s="205"/>
      <c r="L20" s="206"/>
      <c r="M20" s="197"/>
      <c r="N20" s="188"/>
      <c r="O20" s="193"/>
      <c r="P20" s="189"/>
      <c r="Q20" s="30"/>
      <c r="R20" s="30"/>
    </row>
    <row r="21" spans="1:21" s="25" customFormat="1" ht="12.75" x14ac:dyDescent="0.2">
      <c r="A21" s="30"/>
      <c r="B21" s="39">
        <v>7</v>
      </c>
      <c r="C21" s="182" t="s">
        <v>21</v>
      </c>
      <c r="D21" s="211"/>
      <c r="E21" s="202">
        <v>13</v>
      </c>
      <c r="F21" s="203"/>
      <c r="G21" s="55" t="str">
        <f t="shared" si="0"/>
        <v>uur</v>
      </c>
      <c r="H21" s="204" t="s">
        <v>111</v>
      </c>
      <c r="I21" s="205"/>
      <c r="J21" s="205"/>
      <c r="K21" s="205"/>
      <c r="L21" s="206"/>
      <c r="M21" s="197"/>
      <c r="N21" s="188"/>
      <c r="O21" s="193"/>
      <c r="P21" s="189"/>
      <c r="Q21" s="30"/>
      <c r="R21" s="30"/>
    </row>
    <row r="22" spans="1:21" s="25" customFormat="1" ht="12.75" x14ac:dyDescent="0.2">
      <c r="A22" s="30"/>
      <c r="B22" s="41">
        <v>8</v>
      </c>
      <c r="C22" s="182" t="s">
        <v>28</v>
      </c>
      <c r="D22" s="211"/>
      <c r="E22" s="202">
        <v>12.5</v>
      </c>
      <c r="F22" s="203"/>
      <c r="G22" s="55" t="str">
        <f t="shared" si="0"/>
        <v>uur</v>
      </c>
      <c r="H22" s="204"/>
      <c r="I22" s="205"/>
      <c r="J22" s="205"/>
      <c r="K22" s="205"/>
      <c r="L22" s="206"/>
      <c r="M22" s="196"/>
      <c r="N22" s="188"/>
      <c r="O22" s="188"/>
      <c r="P22" s="189"/>
      <c r="Q22" s="30"/>
      <c r="R22" s="30"/>
    </row>
    <row r="23" spans="1:21" s="25" customFormat="1" ht="12.75" x14ac:dyDescent="0.2">
      <c r="A23" s="30"/>
      <c r="B23" s="41">
        <v>9</v>
      </c>
      <c r="C23" s="182" t="s">
        <v>29</v>
      </c>
      <c r="D23" s="211"/>
      <c r="E23" s="202">
        <v>6</v>
      </c>
      <c r="F23" s="203"/>
      <c r="G23" s="55" t="str">
        <f t="shared" si="0"/>
        <v>uur</v>
      </c>
      <c r="H23" s="204"/>
      <c r="I23" s="205"/>
      <c r="J23" s="205"/>
      <c r="K23" s="205"/>
      <c r="L23" s="206"/>
      <c r="M23" s="197">
        <v>45905</v>
      </c>
      <c r="N23" s="188"/>
      <c r="O23" s="193">
        <v>45905</v>
      </c>
      <c r="P23" s="189"/>
      <c r="Q23" s="30"/>
      <c r="R23" s="30"/>
    </row>
    <row r="24" spans="1:21" s="25" customFormat="1" ht="12.75" x14ac:dyDescent="0.2">
      <c r="A24" s="30"/>
      <c r="B24" s="41">
        <v>10</v>
      </c>
      <c r="C24" s="182" t="s">
        <v>30</v>
      </c>
      <c r="D24" s="211"/>
      <c r="E24" s="202">
        <v>6</v>
      </c>
      <c r="F24" s="203"/>
      <c r="G24" s="55" t="str">
        <f t="shared" si="0"/>
        <v>uur</v>
      </c>
      <c r="H24" s="204"/>
      <c r="I24" s="205"/>
      <c r="J24" s="205"/>
      <c r="K24" s="205"/>
      <c r="L24" s="206"/>
      <c r="M24" s="197">
        <v>45933</v>
      </c>
      <c r="N24" s="188"/>
      <c r="O24" s="193">
        <v>45933</v>
      </c>
      <c r="P24" s="189"/>
      <c r="Q24" s="30"/>
      <c r="R24" s="30"/>
    </row>
    <row r="25" spans="1:21" s="25" customFormat="1" ht="12.75" x14ac:dyDescent="0.2">
      <c r="A25" s="30"/>
      <c r="B25" s="41">
        <v>11</v>
      </c>
      <c r="C25" s="182" t="s">
        <v>31</v>
      </c>
      <c r="D25" s="211"/>
      <c r="E25" s="202"/>
      <c r="F25" s="203"/>
      <c r="G25" s="55" t="str">
        <f t="shared" si="0"/>
        <v/>
      </c>
      <c r="H25" s="204"/>
      <c r="I25" s="205"/>
      <c r="J25" s="205"/>
      <c r="K25" s="205"/>
      <c r="L25" s="206"/>
      <c r="M25" s="196"/>
      <c r="N25" s="188"/>
      <c r="O25" s="188"/>
      <c r="P25" s="189"/>
      <c r="Q25" s="30"/>
      <c r="R25" s="30"/>
    </row>
    <row r="26" spans="1:21" s="25" customFormat="1" ht="13.5" thickBot="1" x14ac:dyDescent="0.25">
      <c r="A26" s="30"/>
      <c r="B26" s="41">
        <v>12</v>
      </c>
      <c r="C26" s="209" t="s">
        <v>32</v>
      </c>
      <c r="D26" s="210"/>
      <c r="E26" s="273">
        <v>51</v>
      </c>
      <c r="F26" s="274"/>
      <c r="G26" s="56" t="str">
        <f t="shared" si="0"/>
        <v>uur</v>
      </c>
      <c r="H26" s="221" t="s">
        <v>115</v>
      </c>
      <c r="I26" s="222"/>
      <c r="J26" s="222"/>
      <c r="K26" s="222"/>
      <c r="L26" s="223"/>
      <c r="M26" s="235"/>
      <c r="N26" s="236"/>
      <c r="O26" s="236"/>
      <c r="P26" s="239"/>
      <c r="Q26" s="30"/>
      <c r="R26" s="30"/>
    </row>
    <row r="27" spans="1:21" s="25" customFormat="1" ht="13.5" thickBot="1" x14ac:dyDescent="0.25">
      <c r="A27" s="30"/>
      <c r="B27" s="275" t="s">
        <v>95</v>
      </c>
      <c r="C27" s="276"/>
      <c r="D27" s="277"/>
      <c r="E27" s="278">
        <f>SUM(E15:F26)</f>
        <v>178</v>
      </c>
      <c r="F27" s="279"/>
      <c r="G27" s="30"/>
      <c r="H27" s="119"/>
      <c r="I27" s="119"/>
      <c r="J27" s="119"/>
      <c r="K27" s="119"/>
      <c r="L27" s="119"/>
      <c r="M27" s="111"/>
      <c r="N27" s="111"/>
      <c r="O27" s="111"/>
      <c r="P27" s="111"/>
      <c r="Q27" s="30"/>
      <c r="R27" s="30"/>
    </row>
    <row r="28" spans="1:21" s="25" customFormat="1" ht="13.5" thickBot="1" x14ac:dyDescent="0.25">
      <c r="A28" s="30"/>
      <c r="B28" s="30"/>
      <c r="C28" s="119"/>
      <c r="D28" s="119"/>
      <c r="E28" s="117"/>
      <c r="F28" s="117"/>
      <c r="G28" s="30"/>
      <c r="H28" s="119"/>
      <c r="I28" s="119"/>
      <c r="J28" s="119"/>
      <c r="K28" s="119"/>
      <c r="L28" s="119"/>
      <c r="M28" s="111"/>
      <c r="N28" s="111"/>
      <c r="O28" s="111"/>
      <c r="P28" s="111"/>
      <c r="Q28" s="30"/>
      <c r="R28" s="30"/>
    </row>
    <row r="29" spans="1:21" s="25" customFormat="1" ht="13.5" customHeight="1" thickBot="1" x14ac:dyDescent="0.25">
      <c r="A29" s="30"/>
      <c r="B29" s="212" t="str">
        <f>_xlfn.CONCAT("Beschikbare verlofuren ",O2-1)</f>
        <v>Beschikbare verlofuren 2024</v>
      </c>
      <c r="C29" s="213"/>
      <c r="D29" s="214"/>
      <c r="E29" s="215" cm="1">
        <f t="array" aca="1" ref="E29" ca="1">_xlfn.IFS(Afspraken!J3&gt;DATE(O2,6,30),0,Afspraken!J12&lt;0.1,0,Afspraken!J12&gt;0,Afspraken!J12)</f>
        <v>0</v>
      </c>
      <c r="F29" s="216"/>
      <c r="G29" s="131" t="s">
        <v>57</v>
      </c>
      <c r="H29" s="228" t="str">
        <f>_xlfn.CONCAT("Let op! Uren van ",O2-1," dienen voor 1 juli opgenomen te worden (voor vragen kun je terecht bij je leidinggevende")</f>
        <v>Let op! Uren van 2024 dienen voor 1 juli opgenomen te worden (voor vragen kun je terecht bij je leidinggevende</v>
      </c>
      <c r="I29" s="229"/>
      <c r="J29" s="229"/>
      <c r="K29" s="229"/>
      <c r="L29" s="229"/>
      <c r="M29" s="229"/>
      <c r="N29" s="229"/>
      <c r="O29" s="120"/>
      <c r="P29" s="120"/>
      <c r="Q29" s="120"/>
      <c r="R29" s="120"/>
    </row>
    <row r="30" spans="1:21" s="25" customFormat="1" ht="13.5" thickBot="1" x14ac:dyDescent="0.25">
      <c r="A30" s="30"/>
      <c r="B30" s="212" t="str">
        <f>_xlfn.CONCAT("Beschikbare verlofuren ",O2)</f>
        <v>Beschikbare verlofuren 2025</v>
      </c>
      <c r="C30" s="213"/>
      <c r="D30" s="214"/>
      <c r="E30" s="215">
        <f>Afspraken!J22</f>
        <v>25.5</v>
      </c>
      <c r="F30" s="216"/>
      <c r="G30" s="131" t="s">
        <v>57</v>
      </c>
      <c r="H30" s="228"/>
      <c r="I30" s="229"/>
      <c r="J30" s="229"/>
      <c r="K30" s="229"/>
      <c r="L30" s="229"/>
      <c r="M30" s="229"/>
      <c r="N30" s="229"/>
      <c r="O30" s="30"/>
      <c r="P30" s="30"/>
      <c r="Q30" s="30"/>
      <c r="R30" s="30"/>
    </row>
    <row r="31" spans="1:21" s="25" customFormat="1" ht="6" customHeight="1" thickBot="1" x14ac:dyDescent="0.25">
      <c r="A31" s="30"/>
      <c r="B31" s="30"/>
      <c r="C31" s="30"/>
      <c r="D31" s="40"/>
      <c r="E31" s="30"/>
      <c r="F31" s="30"/>
      <c r="G31" s="30"/>
      <c r="H31" s="30"/>
      <c r="I31" s="30"/>
      <c r="J31" s="30"/>
      <c r="K31" s="30"/>
      <c r="L31" s="30"/>
      <c r="M31" s="30"/>
      <c r="N31" s="30"/>
      <c r="O31" s="30"/>
      <c r="P31" s="30"/>
      <c r="Q31" s="30"/>
      <c r="R31" s="30"/>
    </row>
    <row r="32" spans="1:21" s="25" customFormat="1" ht="13.5" thickBot="1" x14ac:dyDescent="0.25">
      <c r="A32" s="30"/>
      <c r="B32" s="245" t="s">
        <v>54</v>
      </c>
      <c r="C32" s="246"/>
      <c r="D32" s="246"/>
      <c r="E32" s="246"/>
      <c r="F32" s="246"/>
      <c r="G32" s="246"/>
      <c r="H32" s="246"/>
      <c r="I32" s="246"/>
      <c r="J32" s="247"/>
      <c r="K32" s="230" t="s">
        <v>55</v>
      </c>
      <c r="L32" s="231"/>
      <c r="M32" s="231"/>
      <c r="N32" s="231"/>
      <c r="O32" s="231"/>
      <c r="P32" s="232"/>
      <c r="Q32" s="30"/>
      <c r="R32" s="126" t="s">
        <v>102</v>
      </c>
      <c r="U32" s="118"/>
    </row>
    <row r="33" spans="1:18" s="25" customFormat="1" ht="13.5" thickBot="1" x14ac:dyDescent="0.25">
      <c r="A33" s="30"/>
      <c r="B33" s="240" t="s">
        <v>19</v>
      </c>
      <c r="C33" s="226"/>
      <c r="D33" s="86" t="s">
        <v>44</v>
      </c>
      <c r="E33" s="226" t="s">
        <v>52</v>
      </c>
      <c r="F33" s="226"/>
      <c r="G33" s="226" t="s">
        <v>51</v>
      </c>
      <c r="H33" s="226"/>
      <c r="I33" s="226" t="s">
        <v>47</v>
      </c>
      <c r="J33" s="227"/>
      <c r="K33" s="132" t="s">
        <v>74</v>
      </c>
      <c r="L33" s="133" t="s">
        <v>77</v>
      </c>
      <c r="M33" s="134" t="s">
        <v>10</v>
      </c>
      <c r="N33" s="233" t="str">
        <f>_xlfn.CONCAT("Uren open (",O2-1," &amp; ",O2,")")</f>
        <v>Uren open (2024 &amp; 2025)</v>
      </c>
      <c r="O33" s="233"/>
      <c r="P33" s="234"/>
      <c r="Q33" s="30"/>
      <c r="R33" s="130">
        <f>SUM('Periode 1'!F42,'Periode 2'!F42,'Periode 3'!F42,'Periode 4'!F42,'Periode 5'!F42,'Periode 6'!F42,'Periode 7'!F42,'Periode 8'!F42,'Periode 9'!F42,'Periode 10'!F42,'Periode 11'!F42,'Periode 12'!F42)</f>
        <v>45.75</v>
      </c>
    </row>
    <row r="34" spans="1:18" s="25" customFormat="1" ht="12.75" x14ac:dyDescent="0.2">
      <c r="A34" s="30"/>
      <c r="B34" s="182" t="s">
        <v>27</v>
      </c>
      <c r="C34" s="211"/>
      <c r="D34" s="48">
        <f>'Periode 1'!$C$42</f>
        <v>183</v>
      </c>
      <c r="E34" s="217">
        <v>14.5</v>
      </c>
      <c r="F34" s="217"/>
      <c r="G34" s="217">
        <f>SUMIF($C$15:$D$26,B34,$E$15:$F$26)</f>
        <v>0</v>
      </c>
      <c r="H34" s="217"/>
      <c r="I34" s="217">
        <f>D34-E34-G34</f>
        <v>168.5</v>
      </c>
      <c r="J34" s="218"/>
      <c r="K34" s="89">
        <f>'Periode 1'!$D$42</f>
        <v>0</v>
      </c>
      <c r="L34" s="87">
        <f>IF(Afspraken!B28="Ja",Afspraken!U28,0)</f>
        <v>0</v>
      </c>
      <c r="M34" s="88">
        <f>'Periode 1'!$E$42+'Periode 1'!$F$42+'Periode 1'!$H$42+L34</f>
        <v>168.5</v>
      </c>
      <c r="N34" s="224">
        <f ca="1">IF(M34&lt;20,"",SUM(E29:F30)+(M34-I34))</f>
        <v>25.5</v>
      </c>
      <c r="O34" s="224"/>
      <c r="P34" s="225"/>
      <c r="Q34" s="30"/>
      <c r="R34" s="30"/>
    </row>
    <row r="35" spans="1:18" s="25" customFormat="1" ht="12.75" x14ac:dyDescent="0.2">
      <c r="A35" s="30"/>
      <c r="B35" s="182" t="s">
        <v>26</v>
      </c>
      <c r="C35" s="211"/>
      <c r="D35" s="48">
        <f>'Periode 2'!$C$42</f>
        <v>160</v>
      </c>
      <c r="E35" s="217"/>
      <c r="F35" s="217"/>
      <c r="G35" s="217">
        <f t="shared" ref="G35:G45" si="1">SUMIF($C$15:$D$26,B35,$E$15:$F$26)</f>
        <v>0</v>
      </c>
      <c r="H35" s="217"/>
      <c r="I35" s="217">
        <f t="shared" ref="I35:I45" si="2">D35-E35-G35</f>
        <v>160</v>
      </c>
      <c r="J35" s="218"/>
      <c r="K35" s="89">
        <f>'Periode 2'!$D$42</f>
        <v>0</v>
      </c>
      <c r="L35" s="87">
        <f>IF(Afspraken!B29="Ja",Afspraken!U29,0)</f>
        <v>0</v>
      </c>
      <c r="M35" s="88">
        <f>'Periode 2'!$E$42+'Periode 2'!$F$42+'Periode 2'!$H$42+L35</f>
        <v>145.5</v>
      </c>
      <c r="N35" s="224">
        <f ca="1">IF(M35&lt;20,"",IF(N34="",SUM($E$29:$F$30)+(M35-I35),N34+(M35-I35)))</f>
        <v>11</v>
      </c>
      <c r="O35" s="224"/>
      <c r="P35" s="225"/>
      <c r="Q35" s="30"/>
      <c r="R35" s="30"/>
    </row>
    <row r="36" spans="1:18" s="25" customFormat="1" ht="12.75" x14ac:dyDescent="0.2">
      <c r="A36" s="30"/>
      <c r="B36" s="182" t="s">
        <v>25</v>
      </c>
      <c r="C36" s="211"/>
      <c r="D36" s="48">
        <f>'Periode 3'!$C$42</f>
        <v>168.5</v>
      </c>
      <c r="E36" s="217"/>
      <c r="F36" s="217"/>
      <c r="G36" s="217">
        <f t="shared" si="1"/>
        <v>31.25</v>
      </c>
      <c r="H36" s="217"/>
      <c r="I36" s="217">
        <f t="shared" si="2"/>
        <v>137.25</v>
      </c>
      <c r="J36" s="218"/>
      <c r="K36" s="89">
        <f>'Periode 3'!$D$42</f>
        <v>7</v>
      </c>
      <c r="L36" s="87">
        <f>IF(Afspraken!B30="Ja",Afspraken!U30,0)</f>
        <v>0</v>
      </c>
      <c r="M36" s="88">
        <f>'Periode 3'!$E$42+'Periode 3'!$F$42+'Periode 3'!$H$42+L36</f>
        <v>137.25</v>
      </c>
      <c r="N36" s="224">
        <f t="shared" ref="N36:N45" ca="1" si="3">IF(M36&lt;20,"",IF(N35="",SUM($E$29:$F$30)+(M36-I36),N35+(M36-I36)))</f>
        <v>11</v>
      </c>
      <c r="O36" s="224"/>
      <c r="P36" s="225"/>
      <c r="Q36" s="30"/>
      <c r="R36" s="30"/>
    </row>
    <row r="37" spans="1:18" s="25" customFormat="1" ht="12.75" x14ac:dyDescent="0.2">
      <c r="A37" s="30"/>
      <c r="B37" s="182" t="s">
        <v>24</v>
      </c>
      <c r="C37" s="211"/>
      <c r="D37" s="48">
        <f>'Periode 4'!$C$42</f>
        <v>177</v>
      </c>
      <c r="E37" s="217"/>
      <c r="F37" s="217"/>
      <c r="G37" s="217">
        <f t="shared" si="1"/>
        <v>14.5</v>
      </c>
      <c r="H37" s="217"/>
      <c r="I37" s="217">
        <f t="shared" si="2"/>
        <v>162.5</v>
      </c>
      <c r="J37" s="218"/>
      <c r="K37" s="89">
        <f>'Periode 4'!$D$42</f>
        <v>0</v>
      </c>
      <c r="L37" s="87">
        <f>IF(Afspraken!B31="Ja",Afspraken!U31,0)</f>
        <v>0</v>
      </c>
      <c r="M37" s="88">
        <f>'Periode 4'!$E$42+'Periode 4'!$F$42+'Periode 4'!$H$42+L37</f>
        <v>162.75</v>
      </c>
      <c r="N37" s="224">
        <f t="shared" ca="1" si="3"/>
        <v>11.25</v>
      </c>
      <c r="O37" s="224"/>
      <c r="P37" s="225"/>
      <c r="Q37" s="30"/>
      <c r="R37" s="30"/>
    </row>
    <row r="38" spans="1:18" s="25" customFormat="1" ht="12.75" x14ac:dyDescent="0.2">
      <c r="A38" s="30"/>
      <c r="B38" s="182" t="s">
        <v>23</v>
      </c>
      <c r="C38" s="211"/>
      <c r="D38" s="48">
        <f>'Periode 5'!$C$42</f>
        <v>174.5</v>
      </c>
      <c r="E38" s="217">
        <f>M6</f>
        <v>6</v>
      </c>
      <c r="F38" s="217"/>
      <c r="G38" s="217">
        <f t="shared" si="1"/>
        <v>9.25</v>
      </c>
      <c r="H38" s="217"/>
      <c r="I38" s="217">
        <f t="shared" si="2"/>
        <v>159.25</v>
      </c>
      <c r="J38" s="218"/>
      <c r="K38" s="89">
        <f>'Periode 5'!$D$42</f>
        <v>0</v>
      </c>
      <c r="L38" s="87">
        <f>IF(Afspraken!B32="Ja",Afspraken!U32,0)</f>
        <v>0</v>
      </c>
      <c r="M38" s="88">
        <f>'Periode 5'!$E$42+'Periode 5'!$F$42+'Periode 5'!$H$42+L38</f>
        <v>159.25</v>
      </c>
      <c r="N38" s="224">
        <f t="shared" ca="1" si="3"/>
        <v>11.25</v>
      </c>
      <c r="O38" s="224"/>
      <c r="P38" s="225"/>
      <c r="Q38" s="30"/>
      <c r="R38" s="30"/>
    </row>
    <row r="39" spans="1:18" s="25" customFormat="1" ht="12.75" x14ac:dyDescent="0.2">
      <c r="A39" s="30"/>
      <c r="B39" s="182" t="s">
        <v>22</v>
      </c>
      <c r="C39" s="211"/>
      <c r="D39" s="48">
        <f>'Periode 6'!$C$42</f>
        <v>168.5</v>
      </c>
      <c r="E39" s="217"/>
      <c r="F39" s="217"/>
      <c r="G39" s="217">
        <f t="shared" si="1"/>
        <v>34.5</v>
      </c>
      <c r="H39" s="217"/>
      <c r="I39" s="217">
        <f t="shared" si="2"/>
        <v>134</v>
      </c>
      <c r="J39" s="218"/>
      <c r="K39" s="89">
        <f>'Periode 6'!$D$42</f>
        <v>0</v>
      </c>
      <c r="L39" s="87">
        <f>IF(Afspraken!B33="Ja",Afspraken!U33,0)</f>
        <v>0</v>
      </c>
      <c r="M39" s="88">
        <f>'Periode 6'!$E$42+'Periode 6'!$F$42+'Periode 6'!$H$42+L39</f>
        <v>134.25</v>
      </c>
      <c r="N39" s="224">
        <f t="shared" ca="1" si="3"/>
        <v>11.5</v>
      </c>
      <c r="O39" s="224"/>
      <c r="P39" s="225"/>
      <c r="Q39" s="30"/>
      <c r="R39" s="30"/>
    </row>
    <row r="40" spans="1:18" s="25" customFormat="1" ht="12.75" x14ac:dyDescent="0.2">
      <c r="A40" s="30"/>
      <c r="B40" s="182" t="s">
        <v>21</v>
      </c>
      <c r="C40" s="211"/>
      <c r="D40" s="48">
        <f>'Periode 7'!$C$42</f>
        <v>185.5</v>
      </c>
      <c r="E40" s="217">
        <v>74</v>
      </c>
      <c r="F40" s="217"/>
      <c r="G40" s="217">
        <f t="shared" si="1"/>
        <v>13</v>
      </c>
      <c r="H40" s="217"/>
      <c r="I40" s="217">
        <f t="shared" si="2"/>
        <v>98.5</v>
      </c>
      <c r="J40" s="218"/>
      <c r="K40" s="89">
        <f>'Periode 7'!$D$42</f>
        <v>1</v>
      </c>
      <c r="L40" s="87">
        <f>IF(Afspraken!B34="Ja",Afspraken!U34,0)</f>
        <v>0</v>
      </c>
      <c r="M40" s="88">
        <f>'Periode 7'!$E$42+'Periode 7'!$F$42+'Periode 7'!$H$42+L40</f>
        <v>99.5</v>
      </c>
      <c r="N40" s="224">
        <f t="shared" ca="1" si="3"/>
        <v>12.5</v>
      </c>
      <c r="O40" s="224"/>
      <c r="P40" s="225"/>
      <c r="Q40" s="30"/>
      <c r="R40" s="30"/>
    </row>
    <row r="41" spans="1:18" s="25" customFormat="1" ht="12.75" x14ac:dyDescent="0.2">
      <c r="A41" s="30"/>
      <c r="B41" s="182" t="s">
        <v>28</v>
      </c>
      <c r="C41" s="211"/>
      <c r="D41" s="48">
        <f>'Periode 8'!$C$42</f>
        <v>166</v>
      </c>
      <c r="E41" s="217">
        <v>46</v>
      </c>
      <c r="F41" s="217"/>
      <c r="G41" s="217">
        <f t="shared" si="1"/>
        <v>12.5</v>
      </c>
      <c r="H41" s="217"/>
      <c r="I41" s="217">
        <f t="shared" si="2"/>
        <v>107.5</v>
      </c>
      <c r="J41" s="218"/>
      <c r="K41" s="89">
        <f>'Periode 8'!$D$42</f>
        <v>2</v>
      </c>
      <c r="L41" s="87">
        <f>IF(Afspraken!B35="Ja",Afspraken!U35,0)</f>
        <v>0</v>
      </c>
      <c r="M41" s="88">
        <f>'Periode 8'!$E$42+'Periode 8'!$F$42+'Periode 8'!$H$42+L41</f>
        <v>107.5</v>
      </c>
      <c r="N41" s="224">
        <f t="shared" ca="1" si="3"/>
        <v>12.5</v>
      </c>
      <c r="O41" s="224"/>
      <c r="P41" s="225"/>
      <c r="Q41" s="30"/>
      <c r="R41" s="30"/>
    </row>
    <row r="42" spans="1:18" s="25" customFormat="1" ht="12.75" x14ac:dyDescent="0.2">
      <c r="A42" s="30"/>
      <c r="B42" s="182" t="s">
        <v>29</v>
      </c>
      <c r="C42" s="211"/>
      <c r="D42" s="48">
        <f>'Periode 9'!$C$42</f>
        <v>177</v>
      </c>
      <c r="E42" s="217"/>
      <c r="F42" s="217"/>
      <c r="G42" s="217">
        <f t="shared" si="1"/>
        <v>6</v>
      </c>
      <c r="H42" s="217"/>
      <c r="I42" s="217">
        <f t="shared" si="2"/>
        <v>171</v>
      </c>
      <c r="J42" s="218"/>
      <c r="K42" s="89">
        <f>'Periode 9'!$D$42</f>
        <v>0</v>
      </c>
      <c r="L42" s="87">
        <f>IF(Afspraken!B36="Ja",Afspraken!U36,0)</f>
        <v>0</v>
      </c>
      <c r="M42" s="88">
        <f>'Periode 9'!$E$42+'Periode 9'!$F$42+'Periode 9'!$H$42+L42</f>
        <v>171</v>
      </c>
      <c r="N42" s="224">
        <f t="shared" ca="1" si="3"/>
        <v>12.5</v>
      </c>
      <c r="O42" s="224"/>
      <c r="P42" s="225"/>
      <c r="Q42" s="30"/>
      <c r="R42" s="30"/>
    </row>
    <row r="43" spans="1:18" s="25" customFormat="1" ht="12.75" x14ac:dyDescent="0.2">
      <c r="A43" s="30"/>
      <c r="B43" s="182" t="s">
        <v>30</v>
      </c>
      <c r="C43" s="211"/>
      <c r="D43" s="48">
        <f>'Periode 10'!$C$42</f>
        <v>183</v>
      </c>
      <c r="E43" s="217"/>
      <c r="F43" s="217"/>
      <c r="G43" s="217">
        <f t="shared" si="1"/>
        <v>6</v>
      </c>
      <c r="H43" s="217"/>
      <c r="I43" s="217">
        <f t="shared" si="2"/>
        <v>177</v>
      </c>
      <c r="J43" s="218"/>
      <c r="K43" s="89">
        <f>'Periode 10'!$D$42</f>
        <v>0</v>
      </c>
      <c r="L43" s="87">
        <f>IF(Afspraken!B37="Ja",Afspraken!U37,0)</f>
        <v>0</v>
      </c>
      <c r="M43" s="88">
        <f>'Periode 10'!$E$42+'Periode 10'!$F$42+'Periode 10'!$H$42+L43</f>
        <v>17</v>
      </c>
      <c r="N43" s="224" t="str">
        <f t="shared" si="3"/>
        <v/>
      </c>
      <c r="O43" s="224"/>
      <c r="P43" s="225"/>
      <c r="Q43" s="30"/>
      <c r="R43" s="30"/>
    </row>
    <row r="44" spans="1:18" s="25" customFormat="1" ht="12.75" x14ac:dyDescent="0.2">
      <c r="A44" s="30"/>
      <c r="B44" s="182" t="s">
        <v>31</v>
      </c>
      <c r="C44" s="211"/>
      <c r="D44" s="48">
        <f>'Periode 11'!$C$42</f>
        <v>160</v>
      </c>
      <c r="E44" s="217"/>
      <c r="F44" s="217"/>
      <c r="G44" s="217">
        <f t="shared" si="1"/>
        <v>0</v>
      </c>
      <c r="H44" s="217"/>
      <c r="I44" s="217">
        <f t="shared" si="2"/>
        <v>160</v>
      </c>
      <c r="J44" s="218"/>
      <c r="K44" s="89">
        <f>'Periode 11'!$D$42</f>
        <v>0</v>
      </c>
      <c r="L44" s="87">
        <f>IF(Afspraken!B38="Ja",Afspraken!U38,0)</f>
        <v>0</v>
      </c>
      <c r="M44" s="88">
        <f>'Periode 11'!$E$42+'Periode 11'!$F$42+'Periode 11'!$H$42+L44</f>
        <v>0</v>
      </c>
      <c r="N44" s="224" t="str">
        <f t="shared" si="3"/>
        <v/>
      </c>
      <c r="O44" s="224"/>
      <c r="P44" s="225"/>
      <c r="Q44" s="30"/>
      <c r="R44" s="30"/>
    </row>
    <row r="45" spans="1:18" s="25" customFormat="1" ht="13.5" thickBot="1" x14ac:dyDescent="0.25">
      <c r="A45" s="30"/>
      <c r="B45" s="209" t="s">
        <v>32</v>
      </c>
      <c r="C45" s="210"/>
      <c r="D45" s="49">
        <f>'Periode 12'!$C$42</f>
        <v>185.5</v>
      </c>
      <c r="E45" s="219">
        <f>M8</f>
        <v>0</v>
      </c>
      <c r="F45" s="219"/>
      <c r="G45" s="219">
        <f t="shared" si="1"/>
        <v>51</v>
      </c>
      <c r="H45" s="219"/>
      <c r="I45" s="219">
        <f t="shared" si="2"/>
        <v>134.5</v>
      </c>
      <c r="J45" s="220"/>
      <c r="K45" s="90">
        <f>'Periode 12'!$D$42</f>
        <v>0</v>
      </c>
      <c r="L45" s="101">
        <f>IF(Afspraken!B39="Ja",Afspraken!U39,0)</f>
        <v>0</v>
      </c>
      <c r="M45" s="91">
        <f>'Periode 12'!$E$42+'Periode 12'!$F$42+'Periode 12'!$H$42+L45</f>
        <v>14.5</v>
      </c>
      <c r="N45" s="237" t="str">
        <f t="shared" si="3"/>
        <v/>
      </c>
      <c r="O45" s="237"/>
      <c r="P45" s="238"/>
      <c r="Q45" s="30"/>
      <c r="R45" s="30"/>
    </row>
    <row r="46" spans="1:18" x14ac:dyDescent="0.25">
      <c r="E46" s="181">
        <f>SUM(E34:F45)</f>
        <v>140.5</v>
      </c>
      <c r="G46" s="181">
        <f>SUM(G34:H45)</f>
        <v>178</v>
      </c>
    </row>
  </sheetData>
  <mergeCells count="183">
    <mergeCell ref="B1:C1"/>
    <mergeCell ref="J9:L9"/>
    <mergeCell ref="J8:L8"/>
    <mergeCell ref="B10:D10"/>
    <mergeCell ref="J4:L4"/>
    <mergeCell ref="B11:D11"/>
    <mergeCell ref="K2:L2"/>
    <mergeCell ref="E16:F16"/>
    <mergeCell ref="E15:F15"/>
    <mergeCell ref="E4:G4"/>
    <mergeCell ref="H15:L15"/>
    <mergeCell ref="J10:P10"/>
    <mergeCell ref="J11:L11"/>
    <mergeCell ref="M11:N11"/>
    <mergeCell ref="O11:P11"/>
    <mergeCell ref="M12:N12"/>
    <mergeCell ref="M16:N16"/>
    <mergeCell ref="E10:F10"/>
    <mergeCell ref="E14:F14"/>
    <mergeCell ref="M6:N6"/>
    <mergeCell ref="O6:P6"/>
    <mergeCell ref="C16:D16"/>
    <mergeCell ref="O8:P8"/>
    <mergeCell ref="O9:P9"/>
    <mergeCell ref="C22:D22"/>
    <mergeCell ref="E22:F22"/>
    <mergeCell ref="C23:D23"/>
    <mergeCell ref="E23:F23"/>
    <mergeCell ref="C24:D24"/>
    <mergeCell ref="E24:F24"/>
    <mergeCell ref="C25:D25"/>
    <mergeCell ref="E25:F25"/>
    <mergeCell ref="E30:F30"/>
    <mergeCell ref="E26:F26"/>
    <mergeCell ref="C26:D26"/>
    <mergeCell ref="B27:D27"/>
    <mergeCell ref="E27:F27"/>
    <mergeCell ref="B30:D30"/>
    <mergeCell ref="C18:D18"/>
    <mergeCell ref="C17:D17"/>
    <mergeCell ref="C14:D14"/>
    <mergeCell ref="Q2:R2"/>
    <mergeCell ref="H2:J2"/>
    <mergeCell ref="D2:E2"/>
    <mergeCell ref="M4:P4"/>
    <mergeCell ref="B9:D9"/>
    <mergeCell ref="B8:D8"/>
    <mergeCell ref="B5:D5"/>
    <mergeCell ref="B4:D4"/>
    <mergeCell ref="F2:G2"/>
    <mergeCell ref="B2:C2"/>
    <mergeCell ref="E9:F9"/>
    <mergeCell ref="E8:F8"/>
    <mergeCell ref="J5:L5"/>
    <mergeCell ref="M5:N5"/>
    <mergeCell ref="O5:P5"/>
    <mergeCell ref="J6:L6"/>
    <mergeCell ref="Q5:R5"/>
    <mergeCell ref="M8:N8"/>
    <mergeCell ref="C15:D15"/>
    <mergeCell ref="O14:P14"/>
    <mergeCell ref="M9:N9"/>
    <mergeCell ref="B7:D7"/>
    <mergeCell ref="J7:L7"/>
    <mergeCell ref="M7:N7"/>
    <mergeCell ref="N41:P41"/>
    <mergeCell ref="N40:P40"/>
    <mergeCell ref="H17:L17"/>
    <mergeCell ref="B32:J32"/>
    <mergeCell ref="E33:F33"/>
    <mergeCell ref="E40:F40"/>
    <mergeCell ref="E39:F39"/>
    <mergeCell ref="E38:F38"/>
    <mergeCell ref="E37:F37"/>
    <mergeCell ref="E36:F36"/>
    <mergeCell ref="I34:J34"/>
    <mergeCell ref="G40:H40"/>
    <mergeCell ref="H22:L22"/>
    <mergeCell ref="H23:L23"/>
    <mergeCell ref="H24:L24"/>
    <mergeCell ref="H25:L25"/>
    <mergeCell ref="E35:F35"/>
    <mergeCell ref="E34:F34"/>
    <mergeCell ref="C21:D21"/>
    <mergeCell ref="C20:D20"/>
    <mergeCell ref="C19:D19"/>
    <mergeCell ref="B39:C39"/>
    <mergeCell ref="B38:C38"/>
    <mergeCell ref="B37:C37"/>
    <mergeCell ref="B36:C36"/>
    <mergeCell ref="B33:C33"/>
    <mergeCell ref="B35:C35"/>
    <mergeCell ref="B34:C34"/>
    <mergeCell ref="N36:P36"/>
    <mergeCell ref="N35:P35"/>
    <mergeCell ref="N34:P34"/>
    <mergeCell ref="E21:F21"/>
    <mergeCell ref="E20:F20"/>
    <mergeCell ref="E19:F19"/>
    <mergeCell ref="M26:N26"/>
    <mergeCell ref="G33:H33"/>
    <mergeCell ref="I35:J35"/>
    <mergeCell ref="G45:H45"/>
    <mergeCell ref="H18:L18"/>
    <mergeCell ref="M24:N24"/>
    <mergeCell ref="H19:L19"/>
    <mergeCell ref="N44:P44"/>
    <mergeCell ref="N45:P45"/>
    <mergeCell ref="N43:P43"/>
    <mergeCell ref="E43:F43"/>
    <mergeCell ref="E42:F42"/>
    <mergeCell ref="E41:F41"/>
    <mergeCell ref="G39:H39"/>
    <mergeCell ref="G38:H38"/>
    <mergeCell ref="G37:H37"/>
    <mergeCell ref="G36:H36"/>
    <mergeCell ref="O24:P24"/>
    <mergeCell ref="O26:P26"/>
    <mergeCell ref="O21:P21"/>
    <mergeCell ref="O20:P20"/>
    <mergeCell ref="H26:L26"/>
    <mergeCell ref="H21:L21"/>
    <mergeCell ref="H20:L20"/>
    <mergeCell ref="O23:P23"/>
    <mergeCell ref="N42:P42"/>
    <mergeCell ref="G35:H35"/>
    <mergeCell ref="G34:H34"/>
    <mergeCell ref="I33:J33"/>
    <mergeCell ref="H29:N30"/>
    <mergeCell ref="M25:N25"/>
    <mergeCell ref="K32:P32"/>
    <mergeCell ref="N33:P33"/>
    <mergeCell ref="N39:P39"/>
    <mergeCell ref="N38:P38"/>
    <mergeCell ref="N37:P37"/>
    <mergeCell ref="B45:C45"/>
    <mergeCell ref="B44:C44"/>
    <mergeCell ref="B43:C43"/>
    <mergeCell ref="B29:D29"/>
    <mergeCell ref="E29:F29"/>
    <mergeCell ref="I40:J40"/>
    <mergeCell ref="I39:J39"/>
    <mergeCell ref="I38:J38"/>
    <mergeCell ref="I37:J37"/>
    <mergeCell ref="G41:H41"/>
    <mergeCell ref="I36:J36"/>
    <mergeCell ref="G42:H42"/>
    <mergeCell ref="I45:J45"/>
    <mergeCell ref="I44:J44"/>
    <mergeCell ref="G44:H44"/>
    <mergeCell ref="G43:H43"/>
    <mergeCell ref="I43:J43"/>
    <mergeCell ref="E45:F45"/>
    <mergeCell ref="E44:F44"/>
    <mergeCell ref="B42:C42"/>
    <mergeCell ref="B41:C41"/>
    <mergeCell ref="B40:C40"/>
    <mergeCell ref="I42:J42"/>
    <mergeCell ref="I41:J41"/>
    <mergeCell ref="O7:P7"/>
    <mergeCell ref="Q6:R6"/>
    <mergeCell ref="E5:F5"/>
    <mergeCell ref="O25:P25"/>
    <mergeCell ref="H14:L14"/>
    <mergeCell ref="O19:P19"/>
    <mergeCell ref="O18:P18"/>
    <mergeCell ref="O17:P17"/>
    <mergeCell ref="O16:P16"/>
    <mergeCell ref="O15:P15"/>
    <mergeCell ref="M22:N22"/>
    <mergeCell ref="O22:P22"/>
    <mergeCell ref="M23:N23"/>
    <mergeCell ref="M15:N15"/>
    <mergeCell ref="M14:N14"/>
    <mergeCell ref="M21:N21"/>
    <mergeCell ref="M20:N20"/>
    <mergeCell ref="M19:N19"/>
    <mergeCell ref="M18:N18"/>
    <mergeCell ref="M17:N17"/>
    <mergeCell ref="E18:F18"/>
    <mergeCell ref="E17:F17"/>
    <mergeCell ref="H16:L16"/>
    <mergeCell ref="E11:F11"/>
  </mergeCells>
  <dataValidations count="1">
    <dataValidation type="list" allowBlank="1" showInputMessage="1" showErrorMessage="1" sqref="C28:D28" xr:uid="{8F907558-930A-4A6D-A767-34FE2F50C4E9}">
      <formula1>$B$34:$B$45</formula1>
    </dataValidation>
  </dataValidations>
  <pageMargins left="0.7" right="0.7" top="0.75" bottom="0.75" header="0.3" footer="0.3"/>
  <pageSetup paperSize="9" scale="84" orientation="landscape" r:id="rId1"/>
  <ignoredErrors>
    <ignoredError sqref="G26 G15:G21"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70741-9EDB-4513-8849-51F6766EFBFF}">
  <dimension ref="A1:U56"/>
  <sheetViews>
    <sheetView workbookViewId="0">
      <selection activeCell="I53" sqref="I53"/>
    </sheetView>
  </sheetViews>
  <sheetFormatPr defaultRowHeight="15" x14ac:dyDescent="0.25"/>
  <cols>
    <col min="1" max="1" width="13.7109375" bestFit="1" customWidth="1"/>
    <col min="2" max="2" width="8.5703125" customWidth="1"/>
    <col min="3" max="4" width="9" bestFit="1" customWidth="1"/>
    <col min="5" max="5" width="8.5703125" customWidth="1"/>
    <col min="6" max="6" width="9.85546875" customWidth="1"/>
    <col min="8" max="8" width="4.28515625" customWidth="1"/>
    <col min="9" max="9" width="24.140625" bestFit="1" customWidth="1"/>
    <col min="10" max="10" width="18.42578125" bestFit="1" customWidth="1"/>
    <col min="11" max="20" width="5.7109375" customWidth="1"/>
    <col min="21" max="21" width="19.5703125" bestFit="1" customWidth="1"/>
  </cols>
  <sheetData>
    <row r="1" spans="1:11" x14ac:dyDescent="0.25">
      <c r="A1" s="63" t="s">
        <v>58</v>
      </c>
      <c r="B1" s="320" t="str">
        <f>IF(Verlofoverzicht!D2="","",Verlofoverzicht!D2)</f>
        <v>Maickel</v>
      </c>
      <c r="C1" s="320"/>
      <c r="D1" s="320"/>
      <c r="E1" s="320"/>
      <c r="F1" s="320"/>
      <c r="G1" s="320"/>
      <c r="H1" s="104"/>
      <c r="I1" s="96"/>
    </row>
    <row r="2" spans="1:11" ht="15.75" thickBot="1" x14ac:dyDescent="0.3">
      <c r="A2" s="26"/>
      <c r="B2" s="26"/>
      <c r="C2" s="26"/>
      <c r="D2" s="26"/>
      <c r="E2" s="26"/>
      <c r="F2" s="26"/>
      <c r="G2" s="26"/>
      <c r="H2" s="26"/>
      <c r="I2" s="304" t="s">
        <v>103</v>
      </c>
      <c r="J2" s="304"/>
    </row>
    <row r="3" spans="1:11" ht="15.75" thickBot="1" x14ac:dyDescent="0.3">
      <c r="A3" s="64" t="s">
        <v>60</v>
      </c>
      <c r="B3" s="65" t="s">
        <v>61</v>
      </c>
      <c r="C3" s="66" t="s">
        <v>62</v>
      </c>
      <c r="D3" s="64" t="s">
        <v>63</v>
      </c>
      <c r="E3" s="65" t="s">
        <v>64</v>
      </c>
      <c r="F3" s="67" t="s">
        <v>65</v>
      </c>
      <c r="G3" s="68" t="s">
        <v>18</v>
      </c>
      <c r="H3" s="26"/>
      <c r="I3" t="s">
        <v>96</v>
      </c>
      <c r="J3" s="122">
        <f ca="1">TODAY()</f>
        <v>45939</v>
      </c>
      <c r="K3" s="96"/>
    </row>
    <row r="4" spans="1:11" x14ac:dyDescent="0.25">
      <c r="A4" s="69" t="s">
        <v>13</v>
      </c>
      <c r="B4" s="70">
        <v>0.29166666666666669</v>
      </c>
      <c r="C4" s="71">
        <v>0.6875</v>
      </c>
      <c r="D4" s="72">
        <v>1.0416666666666666E-2</v>
      </c>
      <c r="E4" s="70">
        <v>2.0833333333333332E-2</v>
      </c>
      <c r="F4" s="73">
        <v>1.0416666666666666E-2</v>
      </c>
      <c r="G4" s="137">
        <f>(C4-B4-D4-E4-F4)/(1/24)</f>
        <v>8.5</v>
      </c>
      <c r="H4" s="105"/>
      <c r="I4" s="303" t="s">
        <v>98</v>
      </c>
      <c r="J4" s="303"/>
    </row>
    <row r="5" spans="1:11" x14ac:dyDescent="0.25">
      <c r="A5" s="74" t="s">
        <v>14</v>
      </c>
      <c r="B5" s="75">
        <v>0.29166666666666669</v>
      </c>
      <c r="C5" s="76">
        <v>0.6875</v>
      </c>
      <c r="D5" s="77">
        <v>1.0416666666666666E-2</v>
      </c>
      <c r="E5" s="75">
        <v>2.0833333333333332E-2</v>
      </c>
      <c r="F5" s="78">
        <v>1.0416666666666666E-2</v>
      </c>
      <c r="G5" s="137">
        <f t="shared" ref="G5:G8" si="0">(C5-B5-D5-E5-F5)/(1/24)</f>
        <v>8.5</v>
      </c>
      <c r="H5" s="105"/>
      <c r="I5" s="92" t="s">
        <v>19</v>
      </c>
      <c r="J5" s="98" t="s">
        <v>97</v>
      </c>
    </row>
    <row r="6" spans="1:11" x14ac:dyDescent="0.25">
      <c r="A6" s="74" t="s">
        <v>15</v>
      </c>
      <c r="B6" s="75">
        <v>0.29166666666666669</v>
      </c>
      <c r="C6" s="76">
        <v>0.6875</v>
      </c>
      <c r="D6" s="77">
        <v>1.0416666666666666E-2</v>
      </c>
      <c r="E6" s="75">
        <v>2.0833333333333332E-2</v>
      </c>
      <c r="F6" s="78">
        <v>1.0416666666666666E-2</v>
      </c>
      <c r="G6" s="137">
        <f t="shared" si="0"/>
        <v>8.5</v>
      </c>
      <c r="H6" s="105"/>
      <c r="I6" s="123" t="s">
        <v>27</v>
      </c>
      <c r="J6" s="100">
        <f>Verlofoverzicht!E15</f>
        <v>0</v>
      </c>
    </row>
    <row r="7" spans="1:11" x14ac:dyDescent="0.25">
      <c r="A7" s="74" t="s">
        <v>16</v>
      </c>
      <c r="B7" s="75">
        <v>0.29166666666666669</v>
      </c>
      <c r="C7" s="76">
        <v>0.6875</v>
      </c>
      <c r="D7" s="77">
        <v>1.0416666666666666E-2</v>
      </c>
      <c r="E7" s="75">
        <v>2.0833333333333332E-2</v>
      </c>
      <c r="F7" s="78">
        <v>1.0416666666666666E-2</v>
      </c>
      <c r="G7" s="137">
        <f t="shared" si="0"/>
        <v>8.5</v>
      </c>
      <c r="H7" s="105"/>
      <c r="I7" s="123" t="s">
        <v>26</v>
      </c>
      <c r="J7" s="100">
        <f>Verlofoverzicht!E16</f>
        <v>0</v>
      </c>
    </row>
    <row r="8" spans="1:11" ht="15.75" thickBot="1" x14ac:dyDescent="0.3">
      <c r="A8" s="79" t="s">
        <v>17</v>
      </c>
      <c r="B8" s="80">
        <v>0.29166666666666669</v>
      </c>
      <c r="C8" s="81">
        <v>0.57291666666666663</v>
      </c>
      <c r="D8" s="82">
        <v>1.0416666666666666E-2</v>
      </c>
      <c r="E8" s="80">
        <v>2.0833333333333332E-2</v>
      </c>
      <c r="F8" s="135"/>
      <c r="G8" s="137">
        <f t="shared" si="0"/>
        <v>5.9999999999999982</v>
      </c>
      <c r="H8" s="105"/>
      <c r="I8" s="123" t="s">
        <v>25</v>
      </c>
      <c r="J8" s="100">
        <f>Verlofoverzicht!E17</f>
        <v>31.25</v>
      </c>
    </row>
    <row r="9" spans="1:11" ht="15.75" thickBot="1" x14ac:dyDescent="0.3">
      <c r="A9" s="307" t="s">
        <v>66</v>
      </c>
      <c r="B9" s="308"/>
      <c r="C9" s="308"/>
      <c r="D9" s="308"/>
      <c r="E9" s="308"/>
      <c r="F9" s="309"/>
      <c r="G9" s="136">
        <f>SUM(G4:G8)</f>
        <v>40</v>
      </c>
      <c r="H9" s="106"/>
      <c r="I9" s="123" t="s">
        <v>24</v>
      </c>
      <c r="J9" s="100">
        <f>Verlofoverzicht!E18</f>
        <v>14.5</v>
      </c>
    </row>
    <row r="10" spans="1:11" ht="15" customHeight="1" x14ac:dyDescent="0.25">
      <c r="A10" s="321" t="s">
        <v>70</v>
      </c>
      <c r="B10" s="321"/>
      <c r="C10" s="321"/>
      <c r="D10" s="321"/>
      <c r="E10" s="321"/>
      <c r="F10" s="321"/>
      <c r="G10" s="321"/>
      <c r="H10" s="83"/>
      <c r="I10" s="123" t="s">
        <v>23</v>
      </c>
      <c r="J10" s="100">
        <f>Verlofoverzicht!E19</f>
        <v>9.25</v>
      </c>
    </row>
    <row r="11" spans="1:11" x14ac:dyDescent="0.25">
      <c r="A11" s="315"/>
      <c r="B11" s="315"/>
      <c r="C11" s="315"/>
      <c r="D11" s="315"/>
      <c r="E11" s="315"/>
      <c r="F11" s="315"/>
      <c r="G11" s="315"/>
      <c r="H11" s="83"/>
      <c r="I11" s="123" t="s">
        <v>22</v>
      </c>
      <c r="J11" s="100">
        <f>Verlofoverzicht!E20</f>
        <v>34.5</v>
      </c>
    </row>
    <row r="12" spans="1:11" x14ac:dyDescent="0.25">
      <c r="A12" s="315"/>
      <c r="B12" s="315"/>
      <c r="C12" s="315"/>
      <c r="D12" s="315"/>
      <c r="E12" s="315"/>
      <c r="F12" s="315"/>
      <c r="G12" s="315"/>
      <c r="H12" s="83"/>
      <c r="I12" s="125" t="s">
        <v>100</v>
      </c>
      <c r="J12" s="102">
        <f>Verlofoverzicht!E5-SUM(J6:J11)</f>
        <v>-49.5</v>
      </c>
    </row>
    <row r="13" spans="1:11" x14ac:dyDescent="0.25">
      <c r="A13" s="26"/>
      <c r="B13" s="26"/>
      <c r="C13" s="26"/>
      <c r="D13" s="26"/>
      <c r="E13" s="26"/>
      <c r="F13" s="26"/>
      <c r="G13" s="26"/>
      <c r="H13" s="26"/>
    </row>
    <row r="14" spans="1:11" ht="15" customHeight="1" x14ac:dyDescent="0.25">
      <c r="A14" s="317" t="s">
        <v>67</v>
      </c>
      <c r="B14" s="317"/>
      <c r="C14" s="317"/>
      <c r="D14" s="317"/>
      <c r="E14" s="317"/>
      <c r="F14" s="317"/>
      <c r="G14" s="317"/>
      <c r="H14" s="84"/>
      <c r="I14" s="305" t="s">
        <v>34</v>
      </c>
      <c r="J14" s="305"/>
    </row>
    <row r="15" spans="1:11" x14ac:dyDescent="0.25">
      <c r="A15" s="317"/>
      <c r="B15" s="317"/>
      <c r="C15" s="317"/>
      <c r="D15" s="317"/>
      <c r="E15" s="317"/>
      <c r="F15" s="317"/>
      <c r="G15" s="317"/>
      <c r="H15" s="84"/>
      <c r="I15" s="123" t="s">
        <v>21</v>
      </c>
      <c r="J15" s="100">
        <f>Verlofoverzicht!E21</f>
        <v>13</v>
      </c>
    </row>
    <row r="16" spans="1:11" x14ac:dyDescent="0.25">
      <c r="A16" s="317"/>
      <c r="B16" s="317"/>
      <c r="C16" s="317"/>
      <c r="D16" s="317"/>
      <c r="E16" s="317"/>
      <c r="F16" s="317"/>
      <c r="G16" s="317"/>
      <c r="H16" s="84"/>
      <c r="I16" s="123" t="s">
        <v>28</v>
      </c>
      <c r="J16" s="100">
        <f>Verlofoverzicht!E22</f>
        <v>12.5</v>
      </c>
    </row>
    <row r="17" spans="1:21" ht="15.75" thickBot="1" x14ac:dyDescent="0.3">
      <c r="A17" s="317"/>
      <c r="B17" s="317"/>
      <c r="C17" s="317"/>
      <c r="D17" s="317"/>
      <c r="E17" s="317"/>
      <c r="F17" s="317"/>
      <c r="G17" s="317"/>
      <c r="H17" s="84"/>
      <c r="I17" s="123" t="s">
        <v>29</v>
      </c>
      <c r="J17" s="100">
        <f>Verlofoverzicht!E23</f>
        <v>6</v>
      </c>
    </row>
    <row r="18" spans="1:21" ht="15.75" thickBot="1" x14ac:dyDescent="0.3">
      <c r="A18" s="312" t="s">
        <v>68</v>
      </c>
      <c r="B18" s="312"/>
      <c r="C18" s="312"/>
      <c r="D18" s="313"/>
      <c r="E18" s="110">
        <f>SUM('Periode 1'!H42,'Periode 2'!H42,'Periode 3'!H42,'Periode 4'!H42,'Periode 5'!H42,'Periode 6'!H42,'Periode 7'!H42,'Periode 8'!H42,'Periode 9'!H42,'Periode 10'!H42,'Periode 11'!H42,'Periode 12'!H42)</f>
        <v>0</v>
      </c>
      <c r="F18" s="103" t="s">
        <v>94</v>
      </c>
      <c r="G18" s="110">
        <v>8</v>
      </c>
      <c r="H18" s="107"/>
      <c r="I18" s="123" t="s">
        <v>30</v>
      </c>
      <c r="J18" s="100">
        <f>Verlofoverzicht!E24</f>
        <v>6</v>
      </c>
    </row>
    <row r="19" spans="1:21" x14ac:dyDescent="0.25">
      <c r="A19" s="26"/>
      <c r="B19" s="26"/>
      <c r="C19" s="26"/>
      <c r="D19" s="26"/>
      <c r="E19" s="26"/>
      <c r="F19" s="26"/>
      <c r="G19" s="26"/>
      <c r="H19" s="26"/>
      <c r="I19" s="123" t="s">
        <v>31</v>
      </c>
      <c r="J19" s="100">
        <f>Verlofoverzicht!E25</f>
        <v>0</v>
      </c>
    </row>
    <row r="20" spans="1:21" ht="15" customHeight="1" x14ac:dyDescent="0.25">
      <c r="A20" s="315" t="s">
        <v>69</v>
      </c>
      <c r="B20" s="315"/>
      <c r="C20" s="315"/>
      <c r="D20" s="315"/>
      <c r="E20" s="315"/>
      <c r="F20" s="315"/>
      <c r="G20" s="315"/>
      <c r="H20" s="83"/>
      <c r="I20" s="123" t="s">
        <v>32</v>
      </c>
      <c r="J20" s="100">
        <f>Verlofoverzicht!E26</f>
        <v>51</v>
      </c>
    </row>
    <row r="21" spans="1:21" x14ac:dyDescent="0.25">
      <c r="A21" s="315"/>
      <c r="B21" s="315"/>
      <c r="C21" s="315"/>
      <c r="D21" s="315"/>
      <c r="E21" s="315"/>
      <c r="F21" s="315"/>
      <c r="G21" s="315"/>
      <c r="H21" s="83"/>
      <c r="I21" s="127" t="s">
        <v>99</v>
      </c>
      <c r="J21" s="128">
        <f>IF(E18&gt;G18,E18-G18,0)</f>
        <v>0</v>
      </c>
    </row>
    <row r="22" spans="1:21" x14ac:dyDescent="0.25">
      <c r="A22" s="315"/>
      <c r="B22" s="315"/>
      <c r="C22" s="315"/>
      <c r="D22" s="315"/>
      <c r="E22" s="315"/>
      <c r="F22" s="315"/>
      <c r="G22" s="315"/>
      <c r="H22" s="83"/>
      <c r="I22" s="129" t="s">
        <v>101</v>
      </c>
      <c r="J22" s="102">
        <f>IF(J12&gt;0,Verlofoverzicht!M11-SUM(J15:J21),Verlofoverzicht!M11-SUM(J15:J21)+J12)</f>
        <v>25.5</v>
      </c>
    </row>
    <row r="23" spans="1:21" x14ac:dyDescent="0.25">
      <c r="A23" s="315"/>
      <c r="B23" s="315"/>
      <c r="C23" s="315"/>
      <c r="D23" s="315"/>
      <c r="E23" s="315"/>
      <c r="F23" s="315"/>
      <c r="G23" s="315"/>
      <c r="H23" s="83"/>
      <c r="I23" s="97"/>
    </row>
    <row r="24" spans="1:21" ht="15" customHeight="1" x14ac:dyDescent="0.25">
      <c r="A24" s="314" t="s">
        <v>76</v>
      </c>
      <c r="B24" s="314"/>
      <c r="C24" s="314"/>
      <c r="D24" s="314"/>
      <c r="E24" s="314"/>
      <c r="F24" s="314"/>
      <c r="G24" s="314"/>
      <c r="H24" s="85"/>
    </row>
    <row r="25" spans="1:21" ht="15" customHeight="1" x14ac:dyDescent="0.25">
      <c r="A25" s="84" t="s">
        <v>79</v>
      </c>
      <c r="B25" s="94">
        <v>-0.5</v>
      </c>
      <c r="D25" s="84" t="s">
        <v>80</v>
      </c>
      <c r="E25" s="94">
        <v>2</v>
      </c>
      <c r="F25" s="316" t="s">
        <v>104</v>
      </c>
      <c r="G25" s="317"/>
      <c r="H25" s="317"/>
    </row>
    <row r="26" spans="1:21" ht="15" customHeight="1" x14ac:dyDescent="0.25">
      <c r="A26" s="85"/>
      <c r="B26" s="85"/>
      <c r="C26" s="85"/>
      <c r="D26" s="85"/>
      <c r="E26" s="85"/>
      <c r="F26" s="85"/>
      <c r="G26" s="85"/>
      <c r="H26" s="85"/>
      <c r="I26" s="306" t="s">
        <v>82</v>
      </c>
      <c r="J26" s="306"/>
      <c r="K26" s="97"/>
      <c r="L26" s="97"/>
    </row>
    <row r="27" spans="1:21" ht="15" customHeight="1" x14ac:dyDescent="0.25">
      <c r="A27" s="92" t="s">
        <v>19</v>
      </c>
      <c r="B27" s="318" t="s">
        <v>78</v>
      </c>
      <c r="C27" s="318"/>
      <c r="D27" s="85"/>
      <c r="E27" s="85"/>
      <c r="F27" s="85"/>
      <c r="G27" s="85"/>
      <c r="H27" s="85"/>
      <c r="I27" s="125" t="s">
        <v>19</v>
      </c>
      <c r="J27" s="102" t="s">
        <v>81</v>
      </c>
      <c r="K27" s="102" t="s">
        <v>83</v>
      </c>
      <c r="L27" s="102" t="s">
        <v>84</v>
      </c>
      <c r="M27" s="102" t="s">
        <v>85</v>
      </c>
      <c r="N27" s="102" t="s">
        <v>86</v>
      </c>
      <c r="O27" s="102" t="s">
        <v>87</v>
      </c>
      <c r="P27" s="102" t="s">
        <v>88</v>
      </c>
      <c r="Q27" s="102" t="s">
        <v>89</v>
      </c>
      <c r="R27" s="102" t="s">
        <v>90</v>
      </c>
      <c r="S27" s="102" t="s">
        <v>91</v>
      </c>
      <c r="T27" s="102" t="s">
        <v>92</v>
      </c>
      <c r="U27" s="102" t="s">
        <v>93</v>
      </c>
    </row>
    <row r="28" spans="1:21" ht="15" customHeight="1" x14ac:dyDescent="0.25">
      <c r="A28" s="93" t="s">
        <v>27</v>
      </c>
      <c r="B28" s="319" t="s">
        <v>75</v>
      </c>
      <c r="C28" s="319"/>
      <c r="D28" s="95"/>
      <c r="E28" s="95"/>
      <c r="F28" s="95"/>
      <c r="G28" s="85"/>
      <c r="H28" s="85"/>
      <c r="I28" s="123" t="s">
        <v>27</v>
      </c>
      <c r="J28" s="99">
        <f>Verlofoverzicht!K34</f>
        <v>0</v>
      </c>
      <c r="K28" s="100">
        <f>IF(J28&gt;0,$B$25,0)</f>
        <v>0</v>
      </c>
      <c r="L28" s="100">
        <f>IF($J28&gt;1,K28*$E$25,0)</f>
        <v>0</v>
      </c>
      <c r="M28" s="100">
        <f>IF($J28&gt;2,L28*$E$25,0)</f>
        <v>0</v>
      </c>
      <c r="N28" s="100">
        <f>IF($J28&gt;3,M28*$E$25,0)</f>
        <v>0</v>
      </c>
      <c r="O28" s="100">
        <f>IF($J28&gt;4,N28*$E$25,0)</f>
        <v>0</v>
      </c>
      <c r="P28" s="100">
        <f>IF($J28&gt;5,O28,0)</f>
        <v>0</v>
      </c>
      <c r="Q28" s="100">
        <f>IF($J28&gt;6,P28,0)</f>
        <v>0</v>
      </c>
      <c r="R28" s="100">
        <f>IF($J28&gt;7,Q28,0)</f>
        <v>0</v>
      </c>
      <c r="S28" s="100">
        <f>IF($J28&gt;8,R28,0)</f>
        <v>0</v>
      </c>
      <c r="T28" s="100">
        <f>IF($J28&gt;9,S28,0)</f>
        <v>0</v>
      </c>
      <c r="U28" s="109">
        <f>SUM(K28:T28)</f>
        <v>0</v>
      </c>
    </row>
    <row r="29" spans="1:21" ht="15" customHeight="1" x14ac:dyDescent="0.25">
      <c r="A29" s="93" t="s">
        <v>26</v>
      </c>
      <c r="B29" s="319" t="s">
        <v>75</v>
      </c>
      <c r="C29" s="319"/>
      <c r="D29" s="95"/>
      <c r="E29" s="95"/>
      <c r="F29" s="95"/>
      <c r="G29" s="85"/>
      <c r="H29" s="85"/>
      <c r="I29" s="123" t="s">
        <v>26</v>
      </c>
      <c r="J29" s="99">
        <f>Verlofoverzicht!K35</f>
        <v>0</v>
      </c>
      <c r="K29" s="100">
        <f t="shared" ref="K29:K39" si="1">IF(J29&gt;0,$B$25,0)</f>
        <v>0</v>
      </c>
      <c r="L29" s="100">
        <f t="shared" ref="L29:L39" si="2">IF($J29&gt;1,K29*$E$25,0)</f>
        <v>0</v>
      </c>
      <c r="M29" s="100">
        <f t="shared" ref="M29:M39" si="3">IF($J29&gt;2,L29*$E$25,0)</f>
        <v>0</v>
      </c>
      <c r="N29" s="100">
        <f t="shared" ref="N29:N39" si="4">IF($J29&gt;3,M29*$E$25,0)</f>
        <v>0</v>
      </c>
      <c r="O29" s="100">
        <f t="shared" ref="O29:O39" si="5">IF($J29&gt;4,N29*$E$25,0)</f>
        <v>0</v>
      </c>
      <c r="P29" s="100">
        <f t="shared" ref="P29:P39" si="6">IF($J29&gt;5,O29,0)</f>
        <v>0</v>
      </c>
      <c r="Q29" s="100">
        <f t="shared" ref="Q29:Q39" si="7">IF($J29&gt;6,P29,0)</f>
        <v>0</v>
      </c>
      <c r="R29" s="100">
        <f t="shared" ref="R29:R39" si="8">IF($J29&gt;7,Q29,0)</f>
        <v>0</v>
      </c>
      <c r="S29" s="100">
        <f t="shared" ref="S29:S39" si="9">IF($J29&gt;8,R29,0)</f>
        <v>0</v>
      </c>
      <c r="T29" s="100">
        <f t="shared" ref="T29:T39" si="10">IF($J29&gt;9,S29,0)</f>
        <v>0</v>
      </c>
      <c r="U29" s="109">
        <f t="shared" ref="U29:U39" si="11">SUM(K29:T29)</f>
        <v>0</v>
      </c>
    </row>
    <row r="30" spans="1:21" ht="15" customHeight="1" x14ac:dyDescent="0.25">
      <c r="A30" s="93" t="s">
        <v>25</v>
      </c>
      <c r="B30" s="319" t="s">
        <v>75</v>
      </c>
      <c r="C30" s="319"/>
      <c r="D30" s="95"/>
      <c r="E30" s="95"/>
      <c r="F30" s="95"/>
      <c r="G30" s="85"/>
      <c r="H30" s="85"/>
      <c r="I30" s="123" t="s">
        <v>25</v>
      </c>
      <c r="J30" s="99">
        <f>Verlofoverzicht!K36</f>
        <v>7</v>
      </c>
      <c r="K30" s="100">
        <f t="shared" si="1"/>
        <v>-0.5</v>
      </c>
      <c r="L30" s="100">
        <f t="shared" si="2"/>
        <v>-1</v>
      </c>
      <c r="M30" s="100">
        <f t="shared" si="3"/>
        <v>-2</v>
      </c>
      <c r="N30" s="100">
        <f t="shared" si="4"/>
        <v>-4</v>
      </c>
      <c r="O30" s="100">
        <f t="shared" si="5"/>
        <v>-8</v>
      </c>
      <c r="P30" s="100">
        <f t="shared" si="6"/>
        <v>-8</v>
      </c>
      <c r="Q30" s="100">
        <f t="shared" si="7"/>
        <v>-8</v>
      </c>
      <c r="R30" s="100">
        <f t="shared" si="8"/>
        <v>0</v>
      </c>
      <c r="S30" s="100">
        <f t="shared" si="9"/>
        <v>0</v>
      </c>
      <c r="T30" s="100">
        <f t="shared" si="10"/>
        <v>0</v>
      </c>
      <c r="U30" s="109">
        <f t="shared" si="11"/>
        <v>-31.5</v>
      </c>
    </row>
    <row r="31" spans="1:21" ht="15" customHeight="1" x14ac:dyDescent="0.25">
      <c r="A31" s="93" t="s">
        <v>24</v>
      </c>
      <c r="B31" s="319" t="s">
        <v>75</v>
      </c>
      <c r="C31" s="319"/>
      <c r="D31" s="95"/>
      <c r="E31" s="95"/>
      <c r="F31" s="95"/>
      <c r="G31" s="85"/>
      <c r="H31" s="85"/>
      <c r="I31" s="123" t="s">
        <v>24</v>
      </c>
      <c r="J31" s="99">
        <f>Verlofoverzicht!K37</f>
        <v>0</v>
      </c>
      <c r="K31" s="100">
        <f t="shared" si="1"/>
        <v>0</v>
      </c>
      <c r="L31" s="100">
        <f t="shared" si="2"/>
        <v>0</v>
      </c>
      <c r="M31" s="100">
        <f t="shared" si="3"/>
        <v>0</v>
      </c>
      <c r="N31" s="100">
        <f t="shared" si="4"/>
        <v>0</v>
      </c>
      <c r="O31" s="100">
        <f t="shared" si="5"/>
        <v>0</v>
      </c>
      <c r="P31" s="100">
        <f t="shared" si="6"/>
        <v>0</v>
      </c>
      <c r="Q31" s="100">
        <f t="shared" si="7"/>
        <v>0</v>
      </c>
      <c r="R31" s="100">
        <f t="shared" si="8"/>
        <v>0</v>
      </c>
      <c r="S31" s="100">
        <f t="shared" si="9"/>
        <v>0</v>
      </c>
      <c r="T31" s="100">
        <f t="shared" si="10"/>
        <v>0</v>
      </c>
      <c r="U31" s="109">
        <f t="shared" si="11"/>
        <v>0</v>
      </c>
    </row>
    <row r="32" spans="1:21" ht="15" customHeight="1" x14ac:dyDescent="0.25">
      <c r="A32" s="93" t="s">
        <v>23</v>
      </c>
      <c r="B32" s="319" t="s">
        <v>75</v>
      </c>
      <c r="C32" s="319"/>
      <c r="D32" s="95"/>
      <c r="E32" s="95"/>
      <c r="F32" s="95"/>
      <c r="G32" s="85"/>
      <c r="H32" s="85"/>
      <c r="I32" s="123" t="s">
        <v>23</v>
      </c>
      <c r="J32" s="99">
        <f>Verlofoverzicht!K38</f>
        <v>0</v>
      </c>
      <c r="K32" s="100">
        <f t="shared" si="1"/>
        <v>0</v>
      </c>
      <c r="L32" s="100">
        <f t="shared" si="2"/>
        <v>0</v>
      </c>
      <c r="M32" s="100">
        <f t="shared" si="3"/>
        <v>0</v>
      </c>
      <c r="N32" s="100">
        <f t="shared" si="4"/>
        <v>0</v>
      </c>
      <c r="O32" s="100">
        <f t="shared" si="5"/>
        <v>0</v>
      </c>
      <c r="P32" s="100">
        <f t="shared" si="6"/>
        <v>0</v>
      </c>
      <c r="Q32" s="100">
        <f t="shared" si="7"/>
        <v>0</v>
      </c>
      <c r="R32" s="100">
        <f t="shared" si="8"/>
        <v>0</v>
      </c>
      <c r="S32" s="100">
        <f t="shared" si="9"/>
        <v>0</v>
      </c>
      <c r="T32" s="100">
        <f t="shared" si="10"/>
        <v>0</v>
      </c>
      <c r="U32" s="109">
        <f t="shared" si="11"/>
        <v>0</v>
      </c>
    </row>
    <row r="33" spans="1:21" ht="15" customHeight="1" x14ac:dyDescent="0.25">
      <c r="A33" s="93" t="s">
        <v>22</v>
      </c>
      <c r="B33" s="319" t="s">
        <v>75</v>
      </c>
      <c r="C33" s="319"/>
      <c r="D33" s="95"/>
      <c r="E33" s="95"/>
      <c r="F33" s="95"/>
      <c r="G33" s="85"/>
      <c r="H33" s="85"/>
      <c r="I33" s="123" t="s">
        <v>22</v>
      </c>
      <c r="J33" s="99">
        <f>Verlofoverzicht!K39</f>
        <v>0</v>
      </c>
      <c r="K33" s="100">
        <f t="shared" si="1"/>
        <v>0</v>
      </c>
      <c r="L33" s="100">
        <f t="shared" si="2"/>
        <v>0</v>
      </c>
      <c r="M33" s="100">
        <f t="shared" si="3"/>
        <v>0</v>
      </c>
      <c r="N33" s="100">
        <f t="shared" si="4"/>
        <v>0</v>
      </c>
      <c r="O33" s="100">
        <f t="shared" si="5"/>
        <v>0</v>
      </c>
      <c r="P33" s="100">
        <f t="shared" si="6"/>
        <v>0</v>
      </c>
      <c r="Q33" s="100">
        <f t="shared" si="7"/>
        <v>0</v>
      </c>
      <c r="R33" s="100">
        <f t="shared" si="8"/>
        <v>0</v>
      </c>
      <c r="S33" s="100">
        <f t="shared" si="9"/>
        <v>0</v>
      </c>
      <c r="T33" s="100">
        <f t="shared" si="10"/>
        <v>0</v>
      </c>
      <c r="U33" s="109">
        <f t="shared" si="11"/>
        <v>0</v>
      </c>
    </row>
    <row r="34" spans="1:21" ht="15" customHeight="1" x14ac:dyDescent="0.25">
      <c r="A34" s="93" t="s">
        <v>21</v>
      </c>
      <c r="B34" s="319" t="s">
        <v>75</v>
      </c>
      <c r="C34" s="319"/>
      <c r="D34" s="95"/>
      <c r="E34" s="95"/>
      <c r="F34" s="95"/>
      <c r="G34" s="85"/>
      <c r="H34" s="85"/>
      <c r="I34" s="123" t="s">
        <v>21</v>
      </c>
      <c r="J34" s="99">
        <f>Verlofoverzicht!K40</f>
        <v>1</v>
      </c>
      <c r="K34" s="100">
        <f t="shared" si="1"/>
        <v>-0.5</v>
      </c>
      <c r="L34" s="100">
        <f t="shared" si="2"/>
        <v>0</v>
      </c>
      <c r="M34" s="100">
        <f t="shared" si="3"/>
        <v>0</v>
      </c>
      <c r="N34" s="100">
        <f t="shared" si="4"/>
        <v>0</v>
      </c>
      <c r="O34" s="100">
        <f t="shared" si="5"/>
        <v>0</v>
      </c>
      <c r="P34" s="100">
        <f t="shared" si="6"/>
        <v>0</v>
      </c>
      <c r="Q34" s="100">
        <f t="shared" si="7"/>
        <v>0</v>
      </c>
      <c r="R34" s="100">
        <f t="shared" si="8"/>
        <v>0</v>
      </c>
      <c r="S34" s="100">
        <f t="shared" si="9"/>
        <v>0</v>
      </c>
      <c r="T34" s="100">
        <f t="shared" si="10"/>
        <v>0</v>
      </c>
      <c r="U34" s="109">
        <f t="shared" si="11"/>
        <v>-0.5</v>
      </c>
    </row>
    <row r="35" spans="1:21" ht="15" customHeight="1" x14ac:dyDescent="0.25">
      <c r="A35" s="93" t="s">
        <v>28</v>
      </c>
      <c r="B35" s="319" t="s">
        <v>75</v>
      </c>
      <c r="C35" s="319"/>
      <c r="D35" s="95"/>
      <c r="E35" s="95"/>
      <c r="F35" s="95"/>
      <c r="G35" s="85"/>
      <c r="H35" s="85"/>
      <c r="I35" s="123" t="s">
        <v>28</v>
      </c>
      <c r="J35" s="99">
        <f>Verlofoverzicht!K41</f>
        <v>2</v>
      </c>
      <c r="K35" s="100">
        <f t="shared" si="1"/>
        <v>-0.5</v>
      </c>
      <c r="L35" s="100">
        <f t="shared" si="2"/>
        <v>-1</v>
      </c>
      <c r="M35" s="100">
        <f t="shared" si="3"/>
        <v>0</v>
      </c>
      <c r="N35" s="100">
        <f t="shared" si="4"/>
        <v>0</v>
      </c>
      <c r="O35" s="100">
        <f t="shared" si="5"/>
        <v>0</v>
      </c>
      <c r="P35" s="100">
        <f t="shared" si="6"/>
        <v>0</v>
      </c>
      <c r="Q35" s="100">
        <f t="shared" si="7"/>
        <v>0</v>
      </c>
      <c r="R35" s="100">
        <f t="shared" si="8"/>
        <v>0</v>
      </c>
      <c r="S35" s="100">
        <f t="shared" si="9"/>
        <v>0</v>
      </c>
      <c r="T35" s="100">
        <f t="shared" si="10"/>
        <v>0</v>
      </c>
      <c r="U35" s="109">
        <f t="shared" si="11"/>
        <v>-1.5</v>
      </c>
    </row>
    <row r="36" spans="1:21" ht="15" customHeight="1" x14ac:dyDescent="0.25">
      <c r="A36" s="93" t="s">
        <v>29</v>
      </c>
      <c r="B36" s="319" t="s">
        <v>75</v>
      </c>
      <c r="C36" s="319"/>
      <c r="D36" s="95"/>
      <c r="E36" s="95"/>
      <c r="F36" s="95"/>
      <c r="G36" s="85"/>
      <c r="H36" s="85"/>
      <c r="I36" s="123" t="s">
        <v>29</v>
      </c>
      <c r="J36" s="99">
        <f>Verlofoverzicht!K42</f>
        <v>0</v>
      </c>
      <c r="K36" s="100">
        <f t="shared" si="1"/>
        <v>0</v>
      </c>
      <c r="L36" s="100">
        <f t="shared" si="2"/>
        <v>0</v>
      </c>
      <c r="M36" s="100">
        <f t="shared" si="3"/>
        <v>0</v>
      </c>
      <c r="N36" s="100">
        <f t="shared" si="4"/>
        <v>0</v>
      </c>
      <c r="O36" s="100">
        <f t="shared" si="5"/>
        <v>0</v>
      </c>
      <c r="P36" s="100">
        <f t="shared" si="6"/>
        <v>0</v>
      </c>
      <c r="Q36" s="100">
        <f t="shared" si="7"/>
        <v>0</v>
      </c>
      <c r="R36" s="100">
        <f t="shared" si="8"/>
        <v>0</v>
      </c>
      <c r="S36" s="100">
        <f t="shared" si="9"/>
        <v>0</v>
      </c>
      <c r="T36" s="100">
        <f t="shared" si="10"/>
        <v>0</v>
      </c>
      <c r="U36" s="109">
        <f t="shared" si="11"/>
        <v>0</v>
      </c>
    </row>
    <row r="37" spans="1:21" ht="15" customHeight="1" x14ac:dyDescent="0.25">
      <c r="A37" s="93" t="s">
        <v>30</v>
      </c>
      <c r="B37" s="319" t="s">
        <v>75</v>
      </c>
      <c r="C37" s="319"/>
      <c r="D37" s="95"/>
      <c r="E37" s="95"/>
      <c r="F37" s="95"/>
      <c r="G37" s="85"/>
      <c r="H37" s="85"/>
      <c r="I37" s="123" t="s">
        <v>30</v>
      </c>
      <c r="J37" s="99">
        <f>Verlofoverzicht!K43</f>
        <v>0</v>
      </c>
      <c r="K37" s="100">
        <f t="shared" si="1"/>
        <v>0</v>
      </c>
      <c r="L37" s="100">
        <f t="shared" si="2"/>
        <v>0</v>
      </c>
      <c r="M37" s="100">
        <f t="shared" si="3"/>
        <v>0</v>
      </c>
      <c r="N37" s="100">
        <f t="shared" si="4"/>
        <v>0</v>
      </c>
      <c r="O37" s="100">
        <f t="shared" si="5"/>
        <v>0</v>
      </c>
      <c r="P37" s="100">
        <f t="shared" si="6"/>
        <v>0</v>
      </c>
      <c r="Q37" s="100">
        <f t="shared" si="7"/>
        <v>0</v>
      </c>
      <c r="R37" s="100">
        <f t="shared" si="8"/>
        <v>0</v>
      </c>
      <c r="S37" s="100">
        <f t="shared" si="9"/>
        <v>0</v>
      </c>
      <c r="T37" s="100">
        <f t="shared" si="10"/>
        <v>0</v>
      </c>
      <c r="U37" s="109">
        <f t="shared" si="11"/>
        <v>0</v>
      </c>
    </row>
    <row r="38" spans="1:21" ht="15" customHeight="1" x14ac:dyDescent="0.25">
      <c r="A38" s="93" t="s">
        <v>31</v>
      </c>
      <c r="B38" s="319" t="s">
        <v>75</v>
      </c>
      <c r="C38" s="319"/>
      <c r="D38" s="95"/>
      <c r="E38" s="95"/>
      <c r="F38" s="95"/>
      <c r="G38" s="85"/>
      <c r="H38" s="85"/>
      <c r="I38" s="123" t="s">
        <v>31</v>
      </c>
      <c r="J38" s="99">
        <f>Verlofoverzicht!K44</f>
        <v>0</v>
      </c>
      <c r="K38" s="100">
        <f t="shared" si="1"/>
        <v>0</v>
      </c>
      <c r="L38" s="100">
        <f t="shared" si="2"/>
        <v>0</v>
      </c>
      <c r="M38" s="100">
        <f t="shared" si="3"/>
        <v>0</v>
      </c>
      <c r="N38" s="100">
        <f t="shared" si="4"/>
        <v>0</v>
      </c>
      <c r="O38" s="100">
        <f t="shared" si="5"/>
        <v>0</v>
      </c>
      <c r="P38" s="100">
        <f t="shared" si="6"/>
        <v>0</v>
      </c>
      <c r="Q38" s="100">
        <f t="shared" si="7"/>
        <v>0</v>
      </c>
      <c r="R38" s="100">
        <f t="shared" si="8"/>
        <v>0</v>
      </c>
      <c r="S38" s="100">
        <f t="shared" si="9"/>
        <v>0</v>
      </c>
      <c r="T38" s="100">
        <f t="shared" si="10"/>
        <v>0</v>
      </c>
      <c r="U38" s="109">
        <f t="shared" si="11"/>
        <v>0</v>
      </c>
    </row>
    <row r="39" spans="1:21" ht="15" customHeight="1" x14ac:dyDescent="0.25">
      <c r="A39" s="93" t="s">
        <v>32</v>
      </c>
      <c r="B39" s="319" t="s">
        <v>75</v>
      </c>
      <c r="C39" s="319"/>
      <c r="D39" s="95"/>
      <c r="E39" s="95"/>
      <c r="F39" s="95"/>
      <c r="G39" s="85"/>
      <c r="H39" s="85"/>
      <c r="I39" s="123" t="s">
        <v>32</v>
      </c>
      <c r="J39" s="99">
        <f>Verlofoverzicht!K45</f>
        <v>0</v>
      </c>
      <c r="K39" s="100">
        <f t="shared" si="1"/>
        <v>0</v>
      </c>
      <c r="L39" s="100">
        <f t="shared" si="2"/>
        <v>0</v>
      </c>
      <c r="M39" s="100">
        <f t="shared" si="3"/>
        <v>0</v>
      </c>
      <c r="N39" s="100">
        <f t="shared" si="4"/>
        <v>0</v>
      </c>
      <c r="O39" s="100">
        <f t="shared" si="5"/>
        <v>0</v>
      </c>
      <c r="P39" s="100">
        <f t="shared" si="6"/>
        <v>0</v>
      </c>
      <c r="Q39" s="100">
        <f t="shared" si="7"/>
        <v>0</v>
      </c>
      <c r="R39" s="100">
        <f t="shared" si="8"/>
        <v>0</v>
      </c>
      <c r="S39" s="100">
        <f t="shared" si="9"/>
        <v>0</v>
      </c>
      <c r="T39" s="100">
        <f t="shared" si="10"/>
        <v>0</v>
      </c>
      <c r="U39" s="109">
        <f t="shared" si="11"/>
        <v>0</v>
      </c>
    </row>
    <row r="40" spans="1:21" ht="15" customHeight="1" x14ac:dyDescent="0.25">
      <c r="A40" s="85"/>
      <c r="B40" s="85"/>
      <c r="C40" s="85"/>
      <c r="D40" s="85"/>
      <c r="E40" s="85"/>
      <c r="F40" s="85"/>
      <c r="G40" s="85"/>
      <c r="H40" s="85"/>
      <c r="I40" s="124"/>
    </row>
    <row r="41" spans="1:21" x14ac:dyDescent="0.25">
      <c r="A41" s="315" t="s">
        <v>71</v>
      </c>
      <c r="B41" s="315"/>
      <c r="C41" s="315"/>
      <c r="D41" s="315"/>
      <c r="E41" s="315"/>
      <c r="F41" s="315"/>
      <c r="G41" s="315"/>
      <c r="H41" s="83"/>
      <c r="I41" s="97"/>
    </row>
    <row r="42" spans="1:21" x14ac:dyDescent="0.25">
      <c r="A42" s="315"/>
      <c r="B42" s="315"/>
      <c r="C42" s="315"/>
      <c r="D42" s="315"/>
      <c r="E42" s="315"/>
      <c r="F42" s="315"/>
      <c r="G42" s="315"/>
      <c r="H42" s="83"/>
      <c r="I42" s="97"/>
    </row>
    <row r="43" spans="1:21" x14ac:dyDescent="0.25">
      <c r="A43" s="315"/>
      <c r="B43" s="315"/>
      <c r="C43" s="315"/>
      <c r="D43" s="315"/>
      <c r="E43" s="315"/>
      <c r="F43" s="315"/>
      <c r="G43" s="315"/>
      <c r="H43" s="83"/>
      <c r="I43" s="97"/>
    </row>
    <row r="44" spans="1:21" x14ac:dyDescent="0.25">
      <c r="A44" s="315"/>
      <c r="B44" s="315"/>
      <c r="C44" s="315"/>
      <c r="D44" s="315"/>
      <c r="E44" s="315"/>
      <c r="F44" s="315"/>
      <c r="G44" s="315"/>
      <c r="H44" s="83"/>
      <c r="I44" s="97"/>
    </row>
    <row r="45" spans="1:21" x14ac:dyDescent="0.25">
      <c r="A45" s="315"/>
      <c r="B45" s="315"/>
      <c r="C45" s="315"/>
      <c r="D45" s="315"/>
      <c r="E45" s="315"/>
      <c r="F45" s="315"/>
      <c r="G45" s="315"/>
      <c r="H45" s="83"/>
      <c r="I45" s="97"/>
    </row>
    <row r="46" spans="1:21" x14ac:dyDescent="0.25">
      <c r="A46" s="83"/>
      <c r="B46" s="83"/>
      <c r="C46" s="83"/>
      <c r="D46" s="83"/>
      <c r="E46" s="83"/>
      <c r="F46" s="83"/>
      <c r="G46" s="83"/>
      <c r="H46" s="83"/>
      <c r="I46" s="97"/>
    </row>
    <row r="47" spans="1:21" x14ac:dyDescent="0.25">
      <c r="A47" s="317" t="s">
        <v>105</v>
      </c>
      <c r="B47" s="317"/>
      <c r="C47" s="317"/>
      <c r="D47" s="317"/>
      <c r="E47" s="317"/>
      <c r="F47" s="317"/>
      <c r="G47" s="317"/>
      <c r="H47" s="317"/>
    </row>
    <row r="48" spans="1:21" x14ac:dyDescent="0.25">
      <c r="A48" s="317"/>
      <c r="B48" s="317"/>
      <c r="C48" s="317"/>
      <c r="D48" s="317"/>
      <c r="E48" s="317"/>
      <c r="F48" s="317"/>
      <c r="G48" s="317"/>
      <c r="H48" s="317"/>
    </row>
    <row r="49" spans="1:9" x14ac:dyDescent="0.25">
      <c r="A49" s="26"/>
      <c r="B49" s="26"/>
      <c r="C49" s="26"/>
      <c r="D49" s="26"/>
      <c r="E49" s="26"/>
      <c r="F49" s="26"/>
      <c r="G49" s="26"/>
      <c r="H49" s="26"/>
    </row>
    <row r="50" spans="1:9" x14ac:dyDescent="0.25">
      <c r="A50" s="311" t="s">
        <v>72</v>
      </c>
      <c r="B50" s="311"/>
      <c r="C50" s="311"/>
      <c r="D50" s="311"/>
      <c r="E50" s="311"/>
      <c r="F50" s="311"/>
      <c r="G50" s="311"/>
      <c r="H50" s="108"/>
      <c r="I50" s="121"/>
    </row>
    <row r="51" spans="1:9" x14ac:dyDescent="0.25">
      <c r="A51" s="310" t="s">
        <v>109</v>
      </c>
      <c r="B51" s="310"/>
      <c r="C51" s="310"/>
      <c r="D51" s="310"/>
      <c r="E51" s="310"/>
      <c r="F51" s="310"/>
      <c r="G51" s="310"/>
      <c r="H51" s="104"/>
      <c r="I51" s="96"/>
    </row>
    <row r="52" spans="1:9" x14ac:dyDescent="0.25">
      <c r="A52" s="320"/>
      <c r="B52" s="320"/>
      <c r="C52" s="320"/>
      <c r="D52" s="320"/>
      <c r="E52" s="320"/>
      <c r="F52" s="320"/>
      <c r="G52" s="320"/>
      <c r="H52" s="104"/>
      <c r="I52" s="96"/>
    </row>
    <row r="53" spans="1:9" x14ac:dyDescent="0.25">
      <c r="A53" s="320"/>
      <c r="B53" s="320"/>
      <c r="C53" s="320"/>
      <c r="D53" s="320"/>
      <c r="E53" s="320"/>
      <c r="F53" s="320"/>
      <c r="G53" s="320"/>
      <c r="H53" s="104"/>
      <c r="I53" s="96"/>
    </row>
    <row r="54" spans="1:9" x14ac:dyDescent="0.25">
      <c r="A54" s="320"/>
      <c r="B54" s="320"/>
      <c r="C54" s="320"/>
      <c r="D54" s="320"/>
      <c r="E54" s="320"/>
      <c r="F54" s="320"/>
      <c r="G54" s="320"/>
      <c r="H54" s="104"/>
      <c r="I54" s="96"/>
    </row>
    <row r="55" spans="1:9" x14ac:dyDescent="0.25">
      <c r="A55" s="320"/>
      <c r="B55" s="320"/>
      <c r="C55" s="320"/>
      <c r="D55" s="320"/>
      <c r="E55" s="320"/>
      <c r="F55" s="320"/>
      <c r="G55" s="320"/>
      <c r="H55" s="104"/>
      <c r="I55" s="96"/>
    </row>
    <row r="56" spans="1:9" x14ac:dyDescent="0.25">
      <c r="A56" s="320"/>
      <c r="B56" s="320"/>
      <c r="C56" s="320"/>
      <c r="D56" s="320"/>
      <c r="E56" s="320"/>
      <c r="F56" s="320"/>
      <c r="G56" s="320"/>
      <c r="H56" s="104"/>
      <c r="I56" s="96"/>
    </row>
  </sheetData>
  <mergeCells count="34">
    <mergeCell ref="A47:H48"/>
    <mergeCell ref="B1:G1"/>
    <mergeCell ref="A10:G12"/>
    <mergeCell ref="A14:G17"/>
    <mergeCell ref="A41:G45"/>
    <mergeCell ref="B30:C30"/>
    <mergeCell ref="B31:C31"/>
    <mergeCell ref="B32:C32"/>
    <mergeCell ref="A56:G56"/>
    <mergeCell ref="A55:G55"/>
    <mergeCell ref="A54:G54"/>
    <mergeCell ref="A53:G53"/>
    <mergeCell ref="A52:G52"/>
    <mergeCell ref="A51:G51"/>
    <mergeCell ref="A50:G50"/>
    <mergeCell ref="A18:D18"/>
    <mergeCell ref="A24:G24"/>
    <mergeCell ref="A20:G23"/>
    <mergeCell ref="F25:H25"/>
    <mergeCell ref="B27:C27"/>
    <mergeCell ref="B39:C39"/>
    <mergeCell ref="B38:C38"/>
    <mergeCell ref="B37:C37"/>
    <mergeCell ref="B36:C36"/>
    <mergeCell ref="B35:C35"/>
    <mergeCell ref="B34:C34"/>
    <mergeCell ref="B33:C33"/>
    <mergeCell ref="B28:C28"/>
    <mergeCell ref="B29:C29"/>
    <mergeCell ref="I4:J4"/>
    <mergeCell ref="I2:J2"/>
    <mergeCell ref="I14:J14"/>
    <mergeCell ref="I26:J26"/>
    <mergeCell ref="A9:F9"/>
  </mergeCells>
  <phoneticPr fontId="13" type="noConversion"/>
  <conditionalFormatting sqref="E18">
    <cfRule type="expression" dxfId="14" priority="1">
      <formula>$E$18&gt;$G$18</formula>
    </cfRule>
    <cfRule type="expression" dxfId="13" priority="2">
      <formula>AND($E$18&gt;$G$18-1,$E$18&lt;$G$18+0.1)</formula>
    </cfRule>
    <cfRule type="expression" dxfId="12" priority="3">
      <formula>$E$18&lt;$G$18-0.9</formula>
    </cfRule>
  </conditionalFormatting>
  <dataValidations count="1">
    <dataValidation type="list" allowBlank="1" showInputMessage="1" showErrorMessage="1" sqref="B28:C39" xr:uid="{AD70D513-1E28-4DF3-80B4-668AD50F54F9}">
      <formula1>"Nee,Ja"</formula1>
    </dataValidation>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J52"/>
  <sheetViews>
    <sheetView zoomScaleNormal="100" workbookViewId="0">
      <selection activeCell="D6" sqref="D6"/>
    </sheetView>
  </sheetViews>
  <sheetFormatPr defaultColWidth="13.42578125" defaultRowHeight="12" x14ac:dyDescent="0.2"/>
  <cols>
    <col min="1" max="1" width="8.7109375" style="3" customWidth="1"/>
    <col min="2" max="2" width="13.42578125" style="19" bestFit="1" customWidth="1"/>
    <col min="3" max="3" width="11.7109375" style="3" bestFit="1" customWidth="1"/>
    <col min="4" max="4" width="17.7109375" style="14" bestFit="1" customWidth="1"/>
    <col min="5" max="5" width="10.7109375" style="3" bestFit="1" customWidth="1"/>
    <col min="6" max="6" width="5.5703125" style="3" bestFit="1" customWidth="1"/>
    <col min="7" max="7" width="5.85546875" style="3" bestFit="1" customWidth="1"/>
    <col min="8" max="8" width="15.140625" style="5" bestFit="1" customWidth="1"/>
    <col min="9" max="16384" width="13.42578125" style="3"/>
  </cols>
  <sheetData>
    <row r="2" spans="2:10" x14ac:dyDescent="0.2">
      <c r="B2" s="1" t="s">
        <v>0</v>
      </c>
      <c r="C2" s="2"/>
      <c r="D2" s="4"/>
      <c r="E2" s="2"/>
      <c r="F2" s="2"/>
      <c r="G2" s="2"/>
      <c r="H2" s="2"/>
    </row>
    <row r="3" spans="2:10" x14ac:dyDescent="0.2">
      <c r="B3" s="2"/>
      <c r="C3" s="2"/>
      <c r="D3" s="4"/>
      <c r="E3" s="2"/>
      <c r="F3" s="2"/>
      <c r="G3" s="2"/>
      <c r="H3" s="2"/>
    </row>
    <row r="4" spans="2:10" x14ac:dyDescent="0.2">
      <c r="B4" s="4" t="s">
        <v>1</v>
      </c>
      <c r="C4" s="2" t="str">
        <f>IF(Verlofoverzicht!D2="","",Verlofoverzicht!D2)</f>
        <v>Maickel</v>
      </c>
      <c r="D4" s="4" t="s">
        <v>2</v>
      </c>
      <c r="E4" s="2">
        <v>1</v>
      </c>
      <c r="F4" s="4" t="s">
        <v>3</v>
      </c>
      <c r="G4" s="5">
        <f>Verlofoverzicht!$O$2</f>
        <v>2025</v>
      </c>
      <c r="H4" s="2"/>
    </row>
    <row r="5" spans="2:10" ht="6" customHeight="1" x14ac:dyDescent="0.2">
      <c r="B5" s="6"/>
      <c r="C5" s="2"/>
      <c r="D5" s="4"/>
      <c r="F5" s="2"/>
      <c r="G5" s="2"/>
      <c r="H5" s="2"/>
    </row>
    <row r="6" spans="2:10" ht="12" customHeight="1" x14ac:dyDescent="0.2">
      <c r="B6" s="4" t="s">
        <v>5</v>
      </c>
      <c r="C6" s="5">
        <v>38</v>
      </c>
      <c r="D6" s="4" t="s">
        <v>6</v>
      </c>
      <c r="E6" s="2" t="s">
        <v>7</v>
      </c>
      <c r="F6" s="4"/>
      <c r="G6" s="8"/>
      <c r="H6" s="2"/>
    </row>
    <row r="7" spans="2:10" ht="12" customHeight="1" thickBot="1" x14ac:dyDescent="0.25">
      <c r="B7" s="9"/>
      <c r="C7" s="2"/>
      <c r="D7" s="4"/>
      <c r="E7" s="2"/>
      <c r="F7" s="2"/>
      <c r="G7" s="2"/>
      <c r="H7" s="2"/>
    </row>
    <row r="8" spans="2:10" s="7" customFormat="1" ht="12.75" thickBot="1" x14ac:dyDescent="0.25">
      <c r="B8" s="151" t="s">
        <v>8</v>
      </c>
      <c r="C8" s="152" t="s">
        <v>9</v>
      </c>
      <c r="D8" s="153" t="s">
        <v>20</v>
      </c>
      <c r="E8" s="152" t="s">
        <v>10</v>
      </c>
      <c r="F8" s="152" t="s">
        <v>11</v>
      </c>
      <c r="G8" s="152" t="s">
        <v>12</v>
      </c>
      <c r="H8" s="154" t="s">
        <v>59</v>
      </c>
    </row>
    <row r="9" spans="2:10" s="8" customFormat="1" ht="13.5" customHeight="1" thickBot="1" x14ac:dyDescent="0.25">
      <c r="B9" s="147"/>
      <c r="C9" s="148"/>
      <c r="D9" s="149" t="s">
        <v>73</v>
      </c>
      <c r="E9" s="148"/>
      <c r="F9" s="148"/>
      <c r="G9" s="148"/>
      <c r="H9" s="150"/>
    </row>
    <row r="10" spans="2:10" s="12" customFormat="1" ht="12.75" customHeight="1" x14ac:dyDescent="0.2">
      <c r="B10" s="157">
        <f>DATE(G4,E4,1)</f>
        <v>45658</v>
      </c>
      <c r="C10" s="158">
        <f>IFERROR(VLOOKUP(TEXT(WEEKDAY(B10),"dddd"),Afspraken!$A$4:$G$8,7,FALSE),"")</f>
        <v>8.5</v>
      </c>
      <c r="D10" s="159"/>
      <c r="E10" s="160">
        <v>8.5</v>
      </c>
      <c r="F10" s="161"/>
      <c r="G10" s="161"/>
      <c r="H10" s="162"/>
    </row>
    <row r="11" spans="2:10" ht="12.75" customHeight="1" x14ac:dyDescent="0.2">
      <c r="B11" s="163">
        <f t="shared" ref="B11:B38" si="0">IF(MONTH(B10+1)&lt;&gt;$E$4,"",B10+1)</f>
        <v>45659</v>
      </c>
      <c r="C11" s="140">
        <f>IFERROR(VLOOKUP(TEXT(WEEKDAY(B11),"dddd"),Afspraken!$A$4:$G$8,7,FALSE),"")</f>
        <v>8.5</v>
      </c>
      <c r="D11" s="146"/>
      <c r="E11" s="141"/>
      <c r="F11" s="13"/>
      <c r="G11" s="13">
        <v>8.5</v>
      </c>
      <c r="H11" s="43"/>
      <c r="I11" s="12"/>
      <c r="J11" s="12"/>
    </row>
    <row r="12" spans="2:10" ht="12.75" customHeight="1" x14ac:dyDescent="0.2">
      <c r="B12" s="163">
        <f t="shared" si="0"/>
        <v>45660</v>
      </c>
      <c r="C12" s="140">
        <f>IFERROR(VLOOKUP(TEXT(WEEKDAY(B12),"dddd"),Afspraken!$A$4:$G$8,7,FALSE),"")</f>
        <v>5.9999999999999982</v>
      </c>
      <c r="D12" s="146"/>
      <c r="E12" s="141"/>
      <c r="F12" s="13"/>
      <c r="G12" s="13">
        <v>6</v>
      </c>
      <c r="H12" s="43"/>
      <c r="I12" s="12"/>
      <c r="J12" s="12"/>
    </row>
    <row r="13" spans="2:10" ht="12.75" customHeight="1" x14ac:dyDescent="0.2">
      <c r="B13" s="163">
        <f t="shared" si="0"/>
        <v>45661</v>
      </c>
      <c r="C13" s="140" t="str">
        <f>IFERROR(VLOOKUP(TEXT(WEEKDAY(B13),"dddd"),Afspraken!$A$4:$G$8,7,FALSE),"")</f>
        <v/>
      </c>
      <c r="D13" s="146"/>
      <c r="E13" s="141"/>
      <c r="F13" s="13"/>
      <c r="G13" s="13"/>
      <c r="H13" s="43"/>
      <c r="I13" s="12"/>
      <c r="J13" s="12"/>
    </row>
    <row r="14" spans="2:10" ht="12.75" customHeight="1" x14ac:dyDescent="0.2">
      <c r="B14" s="163">
        <f t="shared" si="0"/>
        <v>45662</v>
      </c>
      <c r="C14" s="140" t="str">
        <f>IFERROR(VLOOKUP(TEXT(WEEKDAY(B14),"dddd"),Afspraken!$A$4:$G$8,7,FALSE),"")</f>
        <v/>
      </c>
      <c r="D14" s="146"/>
      <c r="E14" s="141"/>
      <c r="F14" s="13"/>
      <c r="G14" s="13"/>
      <c r="H14" s="43"/>
      <c r="I14" s="12"/>
      <c r="J14" s="12"/>
    </row>
    <row r="15" spans="2:10" ht="12.75" customHeight="1" x14ac:dyDescent="0.2">
      <c r="B15" s="163">
        <f t="shared" si="0"/>
        <v>45663</v>
      </c>
      <c r="C15" s="140">
        <f>IFERROR(VLOOKUP(TEXT(WEEKDAY(B15),"dddd"),Afspraken!$A$4:$G$8,7,FALSE),"")</f>
        <v>8.5</v>
      </c>
      <c r="D15" s="146"/>
      <c r="E15" s="142">
        <v>7.5</v>
      </c>
      <c r="F15" s="13">
        <v>1</v>
      </c>
      <c r="G15" s="13"/>
      <c r="H15" s="44"/>
      <c r="I15" s="12"/>
      <c r="J15" s="12"/>
    </row>
    <row r="16" spans="2:10" ht="12.75" customHeight="1" x14ac:dyDescent="0.2">
      <c r="B16" s="163">
        <f t="shared" si="0"/>
        <v>45664</v>
      </c>
      <c r="C16" s="140">
        <f>IFERROR(VLOOKUP(TEXT(WEEKDAY(B16),"dddd"),Afspraken!$A$4:$G$8,7,FALSE),"")</f>
        <v>8.5</v>
      </c>
      <c r="D16" s="146"/>
      <c r="E16" s="143">
        <v>8.5</v>
      </c>
      <c r="F16" s="15"/>
      <c r="G16" s="15"/>
      <c r="H16" s="45"/>
      <c r="I16" s="12"/>
    </row>
    <row r="17" spans="2:9" ht="12.75" customHeight="1" x14ac:dyDescent="0.2">
      <c r="B17" s="163">
        <f t="shared" si="0"/>
        <v>45665</v>
      </c>
      <c r="C17" s="140">
        <f>IFERROR(VLOOKUP(TEXT(WEEKDAY(B17),"dddd"),Afspraken!$A$4:$G$8,7,FALSE),"")</f>
        <v>8.5</v>
      </c>
      <c r="D17" s="146"/>
      <c r="E17" s="141">
        <v>8.5</v>
      </c>
      <c r="F17" s="10"/>
      <c r="G17" s="10"/>
      <c r="H17" s="43"/>
      <c r="I17" s="12"/>
    </row>
    <row r="18" spans="2:9" ht="12.75" customHeight="1" x14ac:dyDescent="0.2">
      <c r="B18" s="163">
        <f t="shared" si="0"/>
        <v>45666</v>
      </c>
      <c r="C18" s="140">
        <f>IFERROR(VLOOKUP(TEXT(WEEKDAY(B18),"dddd"),Afspraken!$A$4:$G$8,7,FALSE),"")</f>
        <v>8.5</v>
      </c>
      <c r="D18" s="146"/>
      <c r="E18" s="141">
        <v>4.75</v>
      </c>
      <c r="F18" s="13">
        <v>3.75</v>
      </c>
      <c r="G18" s="13"/>
      <c r="H18" s="43"/>
      <c r="I18" s="12"/>
    </row>
    <row r="19" spans="2:9" ht="12.75" customHeight="1" x14ac:dyDescent="0.2">
      <c r="B19" s="163">
        <f t="shared" si="0"/>
        <v>45667</v>
      </c>
      <c r="C19" s="140">
        <f>IFERROR(VLOOKUP(TEXT(WEEKDAY(B19),"dddd"),Afspraken!$A$4:$G$8,7,FALSE),"")</f>
        <v>5.9999999999999982</v>
      </c>
      <c r="D19" s="146"/>
      <c r="E19" s="141">
        <v>5.5</v>
      </c>
      <c r="F19" s="13">
        <v>0.5</v>
      </c>
      <c r="G19" s="13"/>
      <c r="H19" s="43"/>
      <c r="I19" s="12"/>
    </row>
    <row r="20" spans="2:9" ht="12.75" customHeight="1" x14ac:dyDescent="0.2">
      <c r="B20" s="163">
        <f t="shared" si="0"/>
        <v>45668</v>
      </c>
      <c r="C20" s="140" t="str">
        <f>IFERROR(VLOOKUP(TEXT(WEEKDAY(B20),"dddd"),Afspraken!$A$4:$G$8,7,FALSE),"")</f>
        <v/>
      </c>
      <c r="D20" s="146"/>
      <c r="E20" s="141"/>
      <c r="F20" s="13"/>
      <c r="G20" s="13"/>
      <c r="H20" s="43"/>
      <c r="I20" s="12"/>
    </row>
    <row r="21" spans="2:9" ht="12.75" customHeight="1" x14ac:dyDescent="0.2">
      <c r="B21" s="163">
        <f t="shared" si="0"/>
        <v>45669</v>
      </c>
      <c r="C21" s="140" t="str">
        <f>IFERROR(VLOOKUP(TEXT(WEEKDAY(B21),"dddd"),Afspraken!$A$4:$G$8,7,FALSE),"")</f>
        <v/>
      </c>
      <c r="D21" s="146"/>
      <c r="E21" s="141"/>
      <c r="F21" s="13"/>
      <c r="G21" s="13"/>
      <c r="H21" s="44"/>
      <c r="I21" s="12"/>
    </row>
    <row r="22" spans="2:9" ht="12.75" customHeight="1" x14ac:dyDescent="0.2">
      <c r="B22" s="163">
        <f t="shared" si="0"/>
        <v>45670</v>
      </c>
      <c r="C22" s="140">
        <f>IFERROR(VLOOKUP(TEXT(WEEKDAY(B22),"dddd"),Afspraken!$A$4:$G$8,7,FALSE),"")</f>
        <v>8.5</v>
      </c>
      <c r="D22" s="146"/>
      <c r="E22" s="143">
        <v>4.75</v>
      </c>
      <c r="F22" s="15">
        <v>3.75</v>
      </c>
      <c r="G22" s="15"/>
      <c r="H22" s="45"/>
      <c r="I22" s="12"/>
    </row>
    <row r="23" spans="2:9" ht="12.75" customHeight="1" x14ac:dyDescent="0.2">
      <c r="B23" s="163">
        <f t="shared" si="0"/>
        <v>45671</v>
      </c>
      <c r="C23" s="140">
        <f>IFERROR(VLOOKUP(TEXT(WEEKDAY(B23),"dddd"),Afspraken!$A$4:$G$8,7,FALSE),"")</f>
        <v>8.5</v>
      </c>
      <c r="D23" s="146"/>
      <c r="E23" s="143">
        <v>8</v>
      </c>
      <c r="F23" s="15"/>
      <c r="G23" s="15"/>
      <c r="H23" s="45"/>
      <c r="I23" s="12"/>
    </row>
    <row r="24" spans="2:9" ht="12.75" customHeight="1" x14ac:dyDescent="0.2">
      <c r="B24" s="163">
        <f t="shared" si="0"/>
        <v>45672</v>
      </c>
      <c r="C24" s="140">
        <f>IFERROR(VLOOKUP(TEXT(WEEKDAY(B24),"dddd"),Afspraken!$A$4:$G$8,7,FALSE),"")</f>
        <v>8.5</v>
      </c>
      <c r="D24" s="146"/>
      <c r="E24" s="141">
        <v>4.75</v>
      </c>
      <c r="F24" s="10">
        <v>1.75</v>
      </c>
      <c r="G24" s="10"/>
      <c r="H24" s="43"/>
      <c r="I24" s="12"/>
    </row>
    <row r="25" spans="2:9" ht="12.75" customHeight="1" x14ac:dyDescent="0.2">
      <c r="B25" s="163">
        <f t="shared" si="0"/>
        <v>45673</v>
      </c>
      <c r="C25" s="140">
        <f>IFERROR(VLOOKUP(TEXT(WEEKDAY(B25),"dddd"),Afspraken!$A$4:$G$8,7,FALSE),"")</f>
        <v>8.5</v>
      </c>
      <c r="D25" s="146"/>
      <c r="E25" s="141">
        <v>11</v>
      </c>
      <c r="F25" s="13"/>
      <c r="G25" s="13"/>
      <c r="H25" s="44"/>
      <c r="I25" s="12"/>
    </row>
    <row r="26" spans="2:9" ht="12.75" customHeight="1" x14ac:dyDescent="0.2">
      <c r="B26" s="163">
        <f t="shared" si="0"/>
        <v>45674</v>
      </c>
      <c r="C26" s="140">
        <f>IFERROR(VLOOKUP(TEXT(WEEKDAY(B26),"dddd"),Afspraken!$A$4:$G$8,7,FALSE),"")</f>
        <v>5.9999999999999982</v>
      </c>
      <c r="D26" s="146"/>
      <c r="E26" s="141">
        <v>6</v>
      </c>
      <c r="F26" s="13"/>
      <c r="G26" s="13"/>
      <c r="H26" s="44"/>
      <c r="I26" s="12"/>
    </row>
    <row r="27" spans="2:9" ht="12.75" customHeight="1" x14ac:dyDescent="0.2">
      <c r="B27" s="163">
        <f t="shared" si="0"/>
        <v>45675</v>
      </c>
      <c r="C27" s="140" t="str">
        <f>IFERROR(VLOOKUP(TEXT(WEEKDAY(B27),"dddd"),Afspraken!$A$4:$G$8,7,FALSE),"")</f>
        <v/>
      </c>
      <c r="D27" s="146"/>
      <c r="E27" s="141"/>
      <c r="F27" s="13"/>
      <c r="G27" s="13"/>
      <c r="H27" s="44"/>
      <c r="I27" s="12"/>
    </row>
    <row r="28" spans="2:9" ht="12.75" customHeight="1" x14ac:dyDescent="0.2">
      <c r="B28" s="163">
        <f t="shared" si="0"/>
        <v>45676</v>
      </c>
      <c r="C28" s="140" t="str">
        <f>IFERROR(VLOOKUP(TEXT(WEEKDAY(B28),"dddd"),Afspraken!$A$4:$G$8,7,FALSE),"")</f>
        <v/>
      </c>
      <c r="D28" s="146"/>
      <c r="E28" s="141"/>
      <c r="F28" s="13"/>
      <c r="G28" s="13"/>
      <c r="H28" s="44"/>
      <c r="I28" s="12"/>
    </row>
    <row r="29" spans="2:9" ht="12.75" customHeight="1" x14ac:dyDescent="0.2">
      <c r="B29" s="163">
        <f t="shared" si="0"/>
        <v>45677</v>
      </c>
      <c r="C29" s="140">
        <f>IFERROR(VLOOKUP(TEXT(WEEKDAY(B29),"dddd"),Afspraken!$A$4:$G$8,7,FALSE),"")</f>
        <v>8.5</v>
      </c>
      <c r="D29" s="146"/>
      <c r="E29" s="143">
        <v>4.75</v>
      </c>
      <c r="F29" s="15">
        <v>3.75</v>
      </c>
      <c r="G29" s="15"/>
      <c r="H29" s="45"/>
      <c r="I29" s="12"/>
    </row>
    <row r="30" spans="2:9" ht="12.75" customHeight="1" x14ac:dyDescent="0.2">
      <c r="B30" s="163">
        <f t="shared" si="0"/>
        <v>45678</v>
      </c>
      <c r="C30" s="140">
        <f>IFERROR(VLOOKUP(TEXT(WEEKDAY(B30),"dddd"),Afspraken!$A$4:$G$8,7,FALSE),"")</f>
        <v>8.5</v>
      </c>
      <c r="D30" s="146"/>
      <c r="E30" s="143">
        <v>8</v>
      </c>
      <c r="F30" s="15"/>
      <c r="G30" s="15"/>
      <c r="H30" s="45"/>
      <c r="I30" s="12"/>
    </row>
    <row r="31" spans="2:9" ht="12.75" customHeight="1" x14ac:dyDescent="0.2">
      <c r="B31" s="163">
        <f t="shared" si="0"/>
        <v>45679</v>
      </c>
      <c r="C31" s="140">
        <f>IFERROR(VLOOKUP(TEXT(WEEKDAY(B31),"dddd"),Afspraken!$A$4:$G$8,7,FALSE),"")</f>
        <v>8.5</v>
      </c>
      <c r="D31" s="146"/>
      <c r="E31" s="141">
        <v>8.5</v>
      </c>
      <c r="F31" s="10"/>
      <c r="G31" s="10"/>
      <c r="H31" s="43"/>
      <c r="I31" s="12"/>
    </row>
    <row r="32" spans="2:9" ht="12.75" customHeight="1" x14ac:dyDescent="0.2">
      <c r="B32" s="163">
        <f t="shared" si="0"/>
        <v>45680</v>
      </c>
      <c r="C32" s="140">
        <f>IFERROR(VLOOKUP(TEXT(WEEKDAY(B32),"dddd"),Afspraken!$A$4:$G$8,7,FALSE),"")</f>
        <v>8.5</v>
      </c>
      <c r="D32" s="146"/>
      <c r="E32" s="141">
        <v>6.75</v>
      </c>
      <c r="F32" s="13">
        <v>1.5</v>
      </c>
      <c r="G32" s="13"/>
      <c r="H32" s="44"/>
      <c r="I32" s="12"/>
    </row>
    <row r="33" spans="2:9" ht="12.75" customHeight="1" x14ac:dyDescent="0.2">
      <c r="B33" s="163">
        <f t="shared" si="0"/>
        <v>45681</v>
      </c>
      <c r="C33" s="140">
        <f>IFERROR(VLOOKUP(TEXT(WEEKDAY(B33),"dddd"),Afspraken!$A$4:$G$8,7,FALSE),"")</f>
        <v>5.9999999999999982</v>
      </c>
      <c r="D33" s="146"/>
      <c r="E33" s="141">
        <v>6.75</v>
      </c>
      <c r="F33" s="13"/>
      <c r="G33" s="13"/>
      <c r="H33" s="44"/>
      <c r="I33" s="12"/>
    </row>
    <row r="34" spans="2:9" ht="12.75" customHeight="1" x14ac:dyDescent="0.2">
      <c r="B34" s="163">
        <f t="shared" si="0"/>
        <v>45682</v>
      </c>
      <c r="C34" s="140" t="str">
        <f>IFERROR(VLOOKUP(TEXT(WEEKDAY(B34),"dddd"),Afspraken!$A$4:$G$8,7,FALSE),"")</f>
        <v/>
      </c>
      <c r="D34" s="146"/>
      <c r="E34" s="141"/>
      <c r="F34" s="13"/>
      <c r="G34" s="13"/>
      <c r="H34" s="44"/>
      <c r="I34" s="12"/>
    </row>
    <row r="35" spans="2:9" ht="12.75" customHeight="1" x14ac:dyDescent="0.2">
      <c r="B35" s="163">
        <f t="shared" si="0"/>
        <v>45683</v>
      </c>
      <c r="C35" s="140" t="str">
        <f>IFERROR(VLOOKUP(TEXT(WEEKDAY(B35),"dddd"),Afspraken!$A$4:$G$8,7,FALSE),"")</f>
        <v/>
      </c>
      <c r="D35" s="146"/>
      <c r="E35" s="141"/>
      <c r="F35" s="13"/>
      <c r="G35" s="13"/>
      <c r="H35" s="44"/>
      <c r="I35" s="12"/>
    </row>
    <row r="36" spans="2:9" ht="12.75" customHeight="1" x14ac:dyDescent="0.2">
      <c r="B36" s="163">
        <f t="shared" si="0"/>
        <v>45684</v>
      </c>
      <c r="C36" s="140">
        <f>IFERROR(VLOOKUP(TEXT(WEEKDAY(B36),"dddd"),Afspraken!$A$4:$G$8,7,FALSE),"")</f>
        <v>8.5</v>
      </c>
      <c r="D36" s="146"/>
      <c r="E36" s="143">
        <v>6.75</v>
      </c>
      <c r="F36" s="15">
        <v>1.75</v>
      </c>
      <c r="G36" s="15"/>
      <c r="H36" s="45"/>
      <c r="I36" s="12"/>
    </row>
    <row r="37" spans="2:9" ht="12.75" customHeight="1" x14ac:dyDescent="0.2">
      <c r="B37" s="163">
        <f t="shared" si="0"/>
        <v>45685</v>
      </c>
      <c r="C37" s="140">
        <f>IFERROR(VLOOKUP(TEXT(WEEKDAY(B37),"dddd"),Afspraken!$A$4:$G$8,7,FALSE),"")</f>
        <v>8.5</v>
      </c>
      <c r="D37" s="146"/>
      <c r="E37" s="143">
        <v>8</v>
      </c>
      <c r="F37" s="15">
        <v>0.5</v>
      </c>
      <c r="G37" s="15"/>
      <c r="H37" s="45"/>
      <c r="I37" s="12"/>
    </row>
    <row r="38" spans="2:9" ht="12.75" customHeight="1" x14ac:dyDescent="0.2">
      <c r="B38" s="163">
        <f t="shared" si="0"/>
        <v>45686</v>
      </c>
      <c r="C38" s="140">
        <f>IFERROR(VLOOKUP(TEXT(WEEKDAY(B38),"dddd"),Afspraken!$A$4:$G$8,7,FALSE),"")</f>
        <v>8.5</v>
      </c>
      <c r="D38" s="146"/>
      <c r="E38" s="144">
        <v>8</v>
      </c>
      <c r="F38" s="138">
        <v>0.5</v>
      </c>
      <c r="G38" s="138"/>
      <c r="H38" s="139"/>
      <c r="I38" s="12"/>
    </row>
    <row r="39" spans="2:9" ht="12.75" customHeight="1" x14ac:dyDescent="0.2">
      <c r="B39" s="163">
        <f>IF(MONTH(B37+2)&lt;&gt;$E$4,"",B37+2)</f>
        <v>45687</v>
      </c>
      <c r="C39" s="140">
        <f>IFERROR(VLOOKUP(TEXT(WEEKDAY(B39),"dddd"),Afspraken!$A$4:$G$8,7,FALSE),"")</f>
        <v>8.5</v>
      </c>
      <c r="D39" s="146"/>
      <c r="E39" s="141">
        <v>8</v>
      </c>
      <c r="F39" s="13">
        <v>0.5</v>
      </c>
      <c r="G39" s="13"/>
      <c r="H39" s="44"/>
      <c r="I39" s="12"/>
    </row>
    <row r="40" spans="2:9" ht="12.75" customHeight="1" thickBot="1" x14ac:dyDescent="0.25">
      <c r="B40" s="164">
        <f>IF(MONTH(B37+3)&lt;&gt;$E$4,"",B37+3)</f>
        <v>45688</v>
      </c>
      <c r="C40" s="165">
        <f>IFERROR(VLOOKUP(TEXT(WEEKDAY(B40),"dddd"),Afspraken!$A$4:$G$8,7,FALSE),"")</f>
        <v>5.9999999999999982</v>
      </c>
      <c r="D40" s="166"/>
      <c r="E40" s="167">
        <v>5.5</v>
      </c>
      <c r="F40" s="168">
        <v>0.5</v>
      </c>
      <c r="G40" s="168"/>
      <c r="H40" s="169"/>
      <c r="I40" s="12"/>
    </row>
    <row r="41" spans="2:9" s="14" customFormat="1" ht="12.75" customHeight="1" thickBot="1" x14ac:dyDescent="0.25">
      <c r="B41" s="21"/>
      <c r="C41" s="155"/>
      <c r="D41" s="145"/>
      <c r="E41" s="156"/>
      <c r="F41" s="156"/>
      <c r="G41" s="156"/>
      <c r="H41" s="156"/>
      <c r="I41" s="12"/>
    </row>
    <row r="42" spans="2:9" ht="12.75" thickBot="1" x14ac:dyDescent="0.25">
      <c r="B42" s="170" t="s">
        <v>19</v>
      </c>
      <c r="C42" s="171">
        <f t="shared" ref="C42:H42" si="1">SUM(C10:C40)</f>
        <v>183</v>
      </c>
      <c r="D42" s="172">
        <f t="shared" si="1"/>
        <v>0</v>
      </c>
      <c r="E42" s="171">
        <f t="shared" si="1"/>
        <v>148.75</v>
      </c>
      <c r="F42" s="171">
        <f t="shared" si="1"/>
        <v>19.75</v>
      </c>
      <c r="G42" s="171">
        <f t="shared" si="1"/>
        <v>14.5</v>
      </c>
      <c r="H42" s="173">
        <f t="shared" si="1"/>
        <v>0</v>
      </c>
      <c r="I42" s="8"/>
    </row>
    <row r="43" spans="2:9" x14ac:dyDescent="0.2">
      <c r="B43" s="9"/>
      <c r="C43" s="16"/>
      <c r="D43" s="23"/>
      <c r="E43" s="16"/>
      <c r="F43" s="16"/>
      <c r="G43" s="16"/>
      <c r="H43" s="17"/>
      <c r="I43" s="8"/>
    </row>
    <row r="44" spans="2:9" x14ac:dyDescent="0.2">
      <c r="B44" s="9"/>
      <c r="C44" s="16"/>
      <c r="D44" s="23"/>
      <c r="E44" s="16"/>
      <c r="F44" s="16"/>
      <c r="G44" s="16"/>
      <c r="H44" s="17"/>
    </row>
    <row r="45" spans="2:9" x14ac:dyDescent="0.2">
      <c r="B45" s="4"/>
      <c r="C45" s="4"/>
      <c r="D45" s="4"/>
      <c r="E45" s="4"/>
      <c r="F45" s="322"/>
      <c r="G45" s="322"/>
    </row>
    <row r="46" spans="2:9" x14ac:dyDescent="0.2">
      <c r="B46" s="2"/>
      <c r="C46" s="2"/>
      <c r="D46" s="4"/>
      <c r="E46" s="2"/>
      <c r="F46" s="2"/>
      <c r="G46" s="2"/>
    </row>
    <row r="47" spans="2:9" x14ac:dyDescent="0.2">
      <c r="B47" s="2"/>
      <c r="C47" s="2"/>
      <c r="D47" s="4"/>
      <c r="E47" s="2"/>
      <c r="F47" s="2"/>
      <c r="G47" s="2"/>
    </row>
    <row r="48" spans="2:9" x14ac:dyDescent="0.2">
      <c r="B48" s="2"/>
      <c r="C48" s="2"/>
      <c r="D48" s="4"/>
      <c r="E48" s="2"/>
      <c r="F48" s="2"/>
      <c r="G48" s="2"/>
    </row>
    <row r="49" spans="2:8" x14ac:dyDescent="0.2">
      <c r="B49" s="9"/>
      <c r="C49" s="18"/>
      <c r="D49" s="24"/>
      <c r="E49" s="18"/>
      <c r="F49" s="18"/>
      <c r="G49" s="18"/>
    </row>
    <row r="50" spans="2:8" x14ac:dyDescent="0.2">
      <c r="B50" s="9"/>
      <c r="C50" s="18"/>
      <c r="D50" s="24"/>
      <c r="E50" s="18"/>
      <c r="F50" s="18"/>
      <c r="G50" s="18"/>
      <c r="H50" s="3"/>
    </row>
    <row r="51" spans="2:8" x14ac:dyDescent="0.2">
      <c r="B51" s="9"/>
      <c r="C51" s="18"/>
      <c r="D51" s="24"/>
      <c r="E51" s="18"/>
      <c r="F51" s="18"/>
      <c r="G51" s="18"/>
      <c r="H51" s="3"/>
    </row>
    <row r="52" spans="2:8" x14ac:dyDescent="0.2">
      <c r="B52" s="9"/>
      <c r="C52" s="18"/>
      <c r="D52" s="24"/>
      <c r="E52" s="18"/>
      <c r="F52" s="18"/>
      <c r="G52" s="18"/>
      <c r="H52" s="3"/>
    </row>
  </sheetData>
  <mergeCells count="1">
    <mergeCell ref="F45:G45"/>
  </mergeCells>
  <conditionalFormatting sqref="B10:H40">
    <cfRule type="expression" dxfId="11" priority="1">
      <formula>WEEKDAY($B10,2)&gt;=6</formula>
    </cfRule>
  </conditionalFormatting>
  <pageMargins left="0.7" right="0.7" top="0.75" bottom="0.75" header="0.3" footer="0.3"/>
  <pageSetup paperSize="9" scale="6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J53"/>
  <sheetViews>
    <sheetView zoomScaleNormal="100" workbookViewId="0">
      <selection activeCell="D6" sqref="D6"/>
    </sheetView>
  </sheetViews>
  <sheetFormatPr defaultColWidth="13.42578125" defaultRowHeight="12" x14ac:dyDescent="0.2"/>
  <cols>
    <col min="1" max="1" width="8.7109375" style="3" customWidth="1"/>
    <col min="2" max="2" width="13.42578125" style="19"/>
    <col min="3" max="3" width="11.7109375" style="3" bestFit="1" customWidth="1"/>
    <col min="4" max="4" width="17.7109375" style="3" bestFit="1" customWidth="1"/>
    <col min="5" max="5" width="10.7109375" style="14" bestFit="1" customWidth="1"/>
    <col min="6" max="6" width="5.5703125" style="3" bestFit="1" customWidth="1"/>
    <col min="7" max="7" width="5.85546875" style="3" bestFit="1" customWidth="1"/>
    <col min="8" max="8" width="15.140625" style="3" bestFit="1" customWidth="1"/>
    <col min="9" max="9" width="15.140625" style="5" bestFit="1" customWidth="1"/>
    <col min="10" max="16384" width="13.42578125" style="3"/>
  </cols>
  <sheetData>
    <row r="1" spans="2:10" x14ac:dyDescent="0.2">
      <c r="D1" s="14"/>
      <c r="E1" s="3"/>
      <c r="H1" s="5"/>
      <c r="I1" s="3"/>
    </row>
    <row r="2" spans="2:10" x14ac:dyDescent="0.2">
      <c r="B2" s="1" t="s">
        <v>0</v>
      </c>
      <c r="C2" s="2"/>
      <c r="D2" s="4"/>
      <c r="E2" s="2"/>
      <c r="F2" s="2"/>
      <c r="G2" s="2"/>
      <c r="H2" s="2"/>
      <c r="I2" s="3"/>
    </row>
    <row r="3" spans="2:10" x14ac:dyDescent="0.2">
      <c r="B3" s="2"/>
      <c r="C3" s="2"/>
      <c r="D3" s="4"/>
      <c r="E3" s="2"/>
      <c r="F3" s="2"/>
      <c r="G3" s="2"/>
      <c r="H3" s="2"/>
      <c r="I3" s="3"/>
    </row>
    <row r="4" spans="2:10" x14ac:dyDescent="0.2">
      <c r="B4" s="4" t="s">
        <v>1</v>
      </c>
      <c r="C4" s="2" t="str">
        <f>IF(Verlofoverzicht!D2="","",Verlofoverzicht!D2)</f>
        <v>Maickel</v>
      </c>
      <c r="D4" s="4" t="s">
        <v>2</v>
      </c>
      <c r="E4" s="2">
        <v>2</v>
      </c>
      <c r="F4" s="4" t="s">
        <v>3</v>
      </c>
      <c r="G4" s="5">
        <f>Verlofoverzicht!$O$2</f>
        <v>2025</v>
      </c>
      <c r="H4" s="2"/>
      <c r="I4" s="3"/>
    </row>
    <row r="5" spans="2:10" ht="6" customHeight="1" x14ac:dyDescent="0.2">
      <c r="B5" s="6"/>
      <c r="C5" s="2"/>
      <c r="D5" s="4"/>
      <c r="E5" s="3"/>
      <c r="F5" s="2"/>
      <c r="G5" s="2"/>
      <c r="H5" s="2"/>
      <c r="I5" s="3"/>
    </row>
    <row r="6" spans="2:10" ht="12" customHeight="1" x14ac:dyDescent="0.2">
      <c r="B6" s="4" t="s">
        <v>5</v>
      </c>
      <c r="C6" s="5">
        <v>38</v>
      </c>
      <c r="D6" s="4" t="s">
        <v>6</v>
      </c>
      <c r="E6" s="2" t="s">
        <v>7</v>
      </c>
      <c r="F6" s="4"/>
      <c r="G6" s="8"/>
      <c r="H6" s="2"/>
      <c r="I6" s="3"/>
    </row>
    <row r="7" spans="2:10" ht="12" customHeight="1" thickBot="1" x14ac:dyDescent="0.25">
      <c r="B7" s="9"/>
      <c r="C7" s="2"/>
      <c r="D7" s="4"/>
      <c r="E7" s="2"/>
      <c r="F7" s="2"/>
      <c r="G7" s="2"/>
      <c r="H7" s="2"/>
      <c r="I7" s="3"/>
    </row>
    <row r="8" spans="2:10" s="7" customFormat="1" ht="12.75" thickBot="1" x14ac:dyDescent="0.25">
      <c r="B8" s="151" t="s">
        <v>8</v>
      </c>
      <c r="C8" s="152" t="s">
        <v>9</v>
      </c>
      <c r="D8" s="153" t="s">
        <v>20</v>
      </c>
      <c r="E8" s="152" t="s">
        <v>10</v>
      </c>
      <c r="F8" s="152" t="s">
        <v>11</v>
      </c>
      <c r="G8" s="152" t="s">
        <v>12</v>
      </c>
      <c r="H8" s="154" t="s">
        <v>59</v>
      </c>
    </row>
    <row r="9" spans="2:10" s="8" customFormat="1" ht="13.5" customHeight="1" thickBot="1" x14ac:dyDescent="0.25">
      <c r="B9" s="147"/>
      <c r="C9" s="148"/>
      <c r="D9" s="149" t="s">
        <v>73</v>
      </c>
      <c r="E9" s="148"/>
      <c r="F9" s="148"/>
      <c r="G9" s="148"/>
      <c r="H9" s="150"/>
    </row>
    <row r="10" spans="2:10" s="12" customFormat="1" ht="12.75" customHeight="1" x14ac:dyDescent="0.2">
      <c r="B10" s="157">
        <f>DATE(G4,E4,1)</f>
        <v>45689</v>
      </c>
      <c r="C10" s="158" t="str">
        <f>IFERROR(VLOOKUP(TEXT(WEEKDAY(B10),"dddd"),Afspraken!$A$4:$G$8,7,FALSE),"")</f>
        <v/>
      </c>
      <c r="D10" s="159"/>
      <c r="E10" s="160"/>
      <c r="F10" s="161"/>
      <c r="G10" s="161"/>
      <c r="H10" s="162"/>
    </row>
    <row r="11" spans="2:10" ht="12.75" customHeight="1" x14ac:dyDescent="0.2">
      <c r="B11" s="163">
        <f>IF(MONTH(B10+1)&lt;&gt;$E$4,"",B10+1)</f>
        <v>45690</v>
      </c>
      <c r="C11" s="140" t="str">
        <f>IFERROR(VLOOKUP(TEXT(WEEKDAY(B11),"dddd"),Afspraken!$A$4:$G$8,7,FALSE),"")</f>
        <v/>
      </c>
      <c r="D11" s="146"/>
      <c r="E11" s="141"/>
      <c r="F11" s="13"/>
      <c r="G11" s="13"/>
      <c r="H11" s="43"/>
      <c r="I11" s="12"/>
      <c r="J11" s="12"/>
    </row>
    <row r="12" spans="2:10" ht="12.75" customHeight="1" x14ac:dyDescent="0.2">
      <c r="B12" s="163">
        <f t="shared" ref="B12:B38" si="0">IF(MONTH(B11+1)&lt;&gt;$E$4,"",B11+1)</f>
        <v>45691</v>
      </c>
      <c r="C12" s="140">
        <f>IFERROR(VLOOKUP(TEXT(WEEKDAY(B12),"dddd"),Afspraken!$A$4:$G$8,7,FALSE),"")</f>
        <v>8.5</v>
      </c>
      <c r="D12" s="146"/>
      <c r="E12" s="141">
        <v>8</v>
      </c>
      <c r="F12" s="13">
        <v>0.5</v>
      </c>
      <c r="G12" s="13"/>
      <c r="H12" s="43"/>
      <c r="I12" s="12"/>
      <c r="J12" s="12"/>
    </row>
    <row r="13" spans="2:10" ht="12.75" customHeight="1" x14ac:dyDescent="0.2">
      <c r="B13" s="163">
        <f t="shared" si="0"/>
        <v>45692</v>
      </c>
      <c r="C13" s="140">
        <f>IFERROR(VLOOKUP(TEXT(WEEKDAY(B13),"dddd"),Afspraken!$A$4:$G$8,7,FALSE),"")</f>
        <v>8.5</v>
      </c>
      <c r="D13" s="146"/>
      <c r="E13" s="141">
        <v>8</v>
      </c>
      <c r="F13" s="13">
        <v>0.5</v>
      </c>
      <c r="G13" s="13"/>
      <c r="H13" s="43"/>
      <c r="I13" s="12"/>
      <c r="J13" s="12"/>
    </row>
    <row r="14" spans="2:10" ht="12.75" customHeight="1" x14ac:dyDescent="0.2">
      <c r="B14" s="163">
        <f t="shared" si="0"/>
        <v>45693</v>
      </c>
      <c r="C14" s="140">
        <f>IFERROR(VLOOKUP(TEXT(WEEKDAY(B14),"dddd"),Afspraken!$A$4:$G$8,7,FALSE),"")</f>
        <v>8.5</v>
      </c>
      <c r="D14" s="146"/>
      <c r="E14" s="141">
        <v>8</v>
      </c>
      <c r="F14" s="13">
        <v>0.5</v>
      </c>
      <c r="G14" s="13"/>
      <c r="H14" s="43"/>
      <c r="I14" s="12"/>
      <c r="J14" s="12"/>
    </row>
    <row r="15" spans="2:10" ht="12.75" customHeight="1" x14ac:dyDescent="0.2">
      <c r="B15" s="163">
        <f t="shared" si="0"/>
        <v>45694</v>
      </c>
      <c r="C15" s="140">
        <f>IFERROR(VLOOKUP(TEXT(WEEKDAY(B15),"dddd"),Afspraken!$A$4:$G$8,7,FALSE),"")</f>
        <v>8.5</v>
      </c>
      <c r="D15" s="146"/>
      <c r="E15" s="142"/>
      <c r="F15" s="13">
        <v>8.5</v>
      </c>
      <c r="G15" s="13"/>
      <c r="H15" s="44"/>
      <c r="I15" s="12"/>
      <c r="J15" s="12"/>
    </row>
    <row r="16" spans="2:10" ht="12.75" customHeight="1" x14ac:dyDescent="0.2">
      <c r="B16" s="163">
        <f t="shared" si="0"/>
        <v>45695</v>
      </c>
      <c r="C16" s="140">
        <f>IFERROR(VLOOKUP(TEXT(WEEKDAY(B16),"dddd"),Afspraken!$A$4:$G$8,7,FALSE),"")</f>
        <v>5.9999999999999982</v>
      </c>
      <c r="D16" s="146"/>
      <c r="E16" s="143"/>
      <c r="F16" s="15">
        <v>6</v>
      </c>
      <c r="G16" s="15"/>
      <c r="H16" s="45"/>
      <c r="I16" s="12"/>
    </row>
    <row r="17" spans="2:9" ht="12.75" customHeight="1" x14ac:dyDescent="0.2">
      <c r="B17" s="163">
        <f t="shared" si="0"/>
        <v>45696</v>
      </c>
      <c r="C17" s="140" t="str">
        <f>IFERROR(VLOOKUP(TEXT(WEEKDAY(B17),"dddd"),Afspraken!$A$4:$G$8,7,FALSE),"")</f>
        <v/>
      </c>
      <c r="D17" s="146"/>
      <c r="E17" s="141"/>
      <c r="F17" s="10"/>
      <c r="G17" s="10"/>
      <c r="H17" s="43"/>
      <c r="I17" s="12"/>
    </row>
    <row r="18" spans="2:9" ht="12.75" customHeight="1" x14ac:dyDescent="0.2">
      <c r="B18" s="163">
        <f t="shared" si="0"/>
        <v>45697</v>
      </c>
      <c r="C18" s="140" t="str">
        <f>IFERROR(VLOOKUP(TEXT(WEEKDAY(B18),"dddd"),Afspraken!$A$4:$G$8,7,FALSE),"")</f>
        <v/>
      </c>
      <c r="D18" s="146"/>
      <c r="E18" s="141"/>
      <c r="F18" s="13"/>
      <c r="G18" s="13"/>
      <c r="H18" s="43"/>
      <c r="I18" s="12"/>
    </row>
    <row r="19" spans="2:9" ht="12.75" customHeight="1" x14ac:dyDescent="0.2">
      <c r="B19" s="163">
        <f t="shared" si="0"/>
        <v>45698</v>
      </c>
      <c r="C19" s="140">
        <f>IFERROR(VLOOKUP(TEXT(WEEKDAY(B19),"dddd"),Afspraken!$A$4:$G$8,7,FALSE),"")</f>
        <v>8.5</v>
      </c>
      <c r="D19" s="146"/>
      <c r="E19" s="141">
        <v>6.75</v>
      </c>
      <c r="F19" s="13">
        <v>1.75</v>
      </c>
      <c r="G19" s="13"/>
      <c r="H19" s="43"/>
      <c r="I19" s="12"/>
    </row>
    <row r="20" spans="2:9" ht="12.75" customHeight="1" x14ac:dyDescent="0.2">
      <c r="B20" s="163">
        <f t="shared" si="0"/>
        <v>45699</v>
      </c>
      <c r="C20" s="140">
        <f>IFERROR(VLOOKUP(TEXT(WEEKDAY(B20),"dddd"),Afspraken!$A$4:$G$8,7,FALSE),"")</f>
        <v>8.5</v>
      </c>
      <c r="D20" s="146"/>
      <c r="E20" s="141">
        <v>8</v>
      </c>
      <c r="F20" s="13">
        <v>0.5</v>
      </c>
      <c r="G20" s="13"/>
      <c r="H20" s="43"/>
      <c r="I20" s="12"/>
    </row>
    <row r="21" spans="2:9" ht="12.75" customHeight="1" x14ac:dyDescent="0.2">
      <c r="B21" s="163">
        <f t="shared" si="0"/>
        <v>45700</v>
      </c>
      <c r="C21" s="140">
        <f>IFERROR(VLOOKUP(TEXT(WEEKDAY(B21),"dddd"),Afspraken!$A$4:$G$8,7,FALSE),"")</f>
        <v>8.5</v>
      </c>
      <c r="D21" s="146"/>
      <c r="E21" s="141">
        <v>8.5</v>
      </c>
      <c r="F21" s="13"/>
      <c r="G21" s="13"/>
      <c r="H21" s="44"/>
      <c r="I21" s="12"/>
    </row>
    <row r="22" spans="2:9" ht="12.75" customHeight="1" x14ac:dyDescent="0.2">
      <c r="B22" s="163">
        <f t="shared" si="0"/>
        <v>45701</v>
      </c>
      <c r="C22" s="140">
        <f>IFERROR(VLOOKUP(TEXT(WEEKDAY(B22),"dddd"),Afspraken!$A$4:$G$8,7,FALSE),"")</f>
        <v>8.5</v>
      </c>
      <c r="D22" s="146"/>
      <c r="E22" s="143">
        <v>8</v>
      </c>
      <c r="F22" s="15">
        <v>0.5</v>
      </c>
      <c r="G22" s="15"/>
      <c r="H22" s="45"/>
      <c r="I22" s="12"/>
    </row>
    <row r="23" spans="2:9" ht="12.75" customHeight="1" x14ac:dyDescent="0.2">
      <c r="B23" s="163">
        <f t="shared" si="0"/>
        <v>45702</v>
      </c>
      <c r="C23" s="140">
        <f>IFERROR(VLOOKUP(TEXT(WEEKDAY(B23),"dddd"),Afspraken!$A$4:$G$8,7,FALSE),"")</f>
        <v>5.9999999999999982</v>
      </c>
      <c r="D23" s="146"/>
      <c r="E23" s="143">
        <v>6</v>
      </c>
      <c r="F23" s="15"/>
      <c r="G23" s="15"/>
      <c r="H23" s="45"/>
      <c r="I23" s="12"/>
    </row>
    <row r="24" spans="2:9" ht="12.75" customHeight="1" x14ac:dyDescent="0.2">
      <c r="B24" s="163">
        <f t="shared" si="0"/>
        <v>45703</v>
      </c>
      <c r="C24" s="140" t="str">
        <f>IFERROR(VLOOKUP(TEXT(WEEKDAY(B24),"dddd"),Afspraken!$A$4:$G$8,7,FALSE),"")</f>
        <v/>
      </c>
      <c r="D24" s="146"/>
      <c r="E24" s="141"/>
      <c r="F24" s="10"/>
      <c r="G24" s="10"/>
      <c r="H24" s="43"/>
      <c r="I24" s="12"/>
    </row>
    <row r="25" spans="2:9" ht="12.75" customHeight="1" x14ac:dyDescent="0.2">
      <c r="B25" s="163">
        <f t="shared" si="0"/>
        <v>45704</v>
      </c>
      <c r="C25" s="140" t="str">
        <f>IFERROR(VLOOKUP(TEXT(WEEKDAY(B25),"dddd"),Afspraken!$A$4:$G$8,7,FALSE),"")</f>
        <v/>
      </c>
      <c r="D25" s="146"/>
      <c r="E25" s="141"/>
      <c r="F25" s="13"/>
      <c r="G25" s="13"/>
      <c r="H25" s="44"/>
      <c r="I25" s="12"/>
    </row>
    <row r="26" spans="2:9" ht="12.75" customHeight="1" x14ac:dyDescent="0.2">
      <c r="B26" s="163">
        <f t="shared" si="0"/>
        <v>45705</v>
      </c>
      <c r="C26" s="140">
        <f>IFERROR(VLOOKUP(TEXT(WEEKDAY(B26),"dddd"),Afspraken!$A$4:$G$8,7,FALSE),"")</f>
        <v>8.5</v>
      </c>
      <c r="D26" s="146"/>
      <c r="E26" s="141">
        <v>8</v>
      </c>
      <c r="F26" s="13">
        <v>0.5</v>
      </c>
      <c r="G26" s="13"/>
      <c r="H26" s="44"/>
      <c r="I26" s="12"/>
    </row>
    <row r="27" spans="2:9" ht="12.75" customHeight="1" x14ac:dyDescent="0.2">
      <c r="B27" s="163">
        <f t="shared" si="0"/>
        <v>45706</v>
      </c>
      <c r="C27" s="140">
        <f>IFERROR(VLOOKUP(TEXT(WEEKDAY(B27),"dddd"),Afspraken!$A$4:$G$8,7,FALSE),"")</f>
        <v>8.5</v>
      </c>
      <c r="D27" s="146"/>
      <c r="E27" s="141">
        <v>8</v>
      </c>
      <c r="F27" s="13">
        <v>0.5</v>
      </c>
      <c r="G27" s="13"/>
      <c r="H27" s="44"/>
      <c r="I27" s="12"/>
    </row>
    <row r="28" spans="2:9" ht="12.75" customHeight="1" x14ac:dyDescent="0.2">
      <c r="B28" s="163">
        <f t="shared" si="0"/>
        <v>45707</v>
      </c>
      <c r="C28" s="140">
        <f>IFERROR(VLOOKUP(TEXT(WEEKDAY(B28),"dddd"),Afspraken!$A$4:$G$8,7,FALSE),"")</f>
        <v>8.5</v>
      </c>
      <c r="D28" s="146"/>
      <c r="E28" s="141">
        <v>8</v>
      </c>
      <c r="F28" s="13">
        <v>0.5</v>
      </c>
      <c r="G28" s="13"/>
      <c r="H28" s="44"/>
      <c r="I28" s="12"/>
    </row>
    <row r="29" spans="2:9" ht="12.75" customHeight="1" x14ac:dyDescent="0.2">
      <c r="B29" s="163">
        <f t="shared" si="0"/>
        <v>45708</v>
      </c>
      <c r="C29" s="140">
        <f>IFERROR(VLOOKUP(TEXT(WEEKDAY(B29),"dddd"),Afspraken!$A$4:$G$8,7,FALSE),"")</f>
        <v>8.5</v>
      </c>
      <c r="D29" s="146"/>
      <c r="E29" s="143"/>
      <c r="F29" s="15"/>
      <c r="G29" s="15">
        <v>8.5</v>
      </c>
      <c r="H29" s="45"/>
      <c r="I29" s="12"/>
    </row>
    <row r="30" spans="2:9" ht="12.75" customHeight="1" x14ac:dyDescent="0.2">
      <c r="B30" s="163">
        <f t="shared" si="0"/>
        <v>45709</v>
      </c>
      <c r="C30" s="140">
        <f>IFERROR(VLOOKUP(TEXT(WEEKDAY(B30),"dddd"),Afspraken!$A$4:$G$8,7,FALSE),"")</f>
        <v>5.9999999999999982</v>
      </c>
      <c r="D30" s="146"/>
      <c r="E30" s="143"/>
      <c r="F30" s="15"/>
      <c r="G30" s="15">
        <v>6</v>
      </c>
      <c r="H30" s="45"/>
      <c r="I30" s="12"/>
    </row>
    <row r="31" spans="2:9" ht="12.75" customHeight="1" x14ac:dyDescent="0.2">
      <c r="B31" s="163">
        <f t="shared" si="0"/>
        <v>45710</v>
      </c>
      <c r="C31" s="140" t="str">
        <f>IFERROR(VLOOKUP(TEXT(WEEKDAY(B31),"dddd"),Afspraken!$A$4:$G$8,7,FALSE),"")</f>
        <v/>
      </c>
      <c r="D31" s="146"/>
      <c r="E31" s="141"/>
      <c r="F31" s="10"/>
      <c r="G31" s="10"/>
      <c r="H31" s="43"/>
      <c r="I31" s="12"/>
    </row>
    <row r="32" spans="2:9" ht="12.75" customHeight="1" x14ac:dyDescent="0.2">
      <c r="B32" s="163">
        <f t="shared" si="0"/>
        <v>45711</v>
      </c>
      <c r="C32" s="140" t="str">
        <f>IFERROR(VLOOKUP(TEXT(WEEKDAY(B32),"dddd"),Afspraken!$A$4:$G$8,7,FALSE),"")</f>
        <v/>
      </c>
      <c r="D32" s="146"/>
      <c r="E32" s="141"/>
      <c r="F32" s="13"/>
      <c r="G32" s="13"/>
      <c r="H32" s="44"/>
      <c r="I32" s="12"/>
    </row>
    <row r="33" spans="2:10" ht="12.75" customHeight="1" x14ac:dyDescent="0.2">
      <c r="B33" s="163">
        <f t="shared" si="0"/>
        <v>45712</v>
      </c>
      <c r="C33" s="140">
        <f>IFERROR(VLOOKUP(TEXT(WEEKDAY(B33),"dddd"),Afspraken!$A$4:$G$8,7,FALSE),"")</f>
        <v>8.5</v>
      </c>
      <c r="D33" s="146"/>
      <c r="E33" s="141">
        <v>8</v>
      </c>
      <c r="F33" s="13">
        <v>0.5</v>
      </c>
      <c r="G33" s="13"/>
      <c r="H33" s="44"/>
      <c r="I33" s="12"/>
    </row>
    <row r="34" spans="2:10" ht="12.75" customHeight="1" x14ac:dyDescent="0.2">
      <c r="B34" s="163">
        <f t="shared" si="0"/>
        <v>45713</v>
      </c>
      <c r="C34" s="140">
        <f>IFERROR(VLOOKUP(TEXT(WEEKDAY(B34),"dddd"),Afspraken!$A$4:$G$8,7,FALSE),"")</f>
        <v>8.5</v>
      </c>
      <c r="D34" s="146"/>
      <c r="E34" s="141">
        <v>4.75</v>
      </c>
      <c r="F34" s="13">
        <v>3.75</v>
      </c>
      <c r="G34" s="13"/>
      <c r="H34" s="44"/>
      <c r="I34" s="12"/>
    </row>
    <row r="35" spans="2:10" ht="12.75" customHeight="1" x14ac:dyDescent="0.2">
      <c r="B35" s="163">
        <f t="shared" si="0"/>
        <v>45714</v>
      </c>
      <c r="C35" s="140">
        <f>IFERROR(VLOOKUP(TEXT(WEEKDAY(B35),"dddd"),Afspraken!$A$4:$G$8,7,FALSE),"")</f>
        <v>8.5</v>
      </c>
      <c r="D35" s="146"/>
      <c r="E35" s="141">
        <v>7.5</v>
      </c>
      <c r="F35" s="13">
        <v>1</v>
      </c>
      <c r="G35" s="13"/>
      <c r="H35" s="44"/>
      <c r="I35" s="12"/>
    </row>
    <row r="36" spans="2:10" ht="12.75" customHeight="1" x14ac:dyDescent="0.2">
      <c r="B36" s="163">
        <f t="shared" si="0"/>
        <v>45715</v>
      </c>
      <c r="C36" s="140">
        <f>IFERROR(VLOOKUP(TEXT(WEEKDAY(B36),"dddd"),Afspraken!$A$4:$G$8,7,FALSE),"")</f>
        <v>8.5</v>
      </c>
      <c r="D36" s="146"/>
      <c r="E36" s="143">
        <v>8</v>
      </c>
      <c r="F36" s="15">
        <v>0.5</v>
      </c>
      <c r="G36" s="15"/>
      <c r="H36" s="45"/>
      <c r="I36" s="12"/>
    </row>
    <row r="37" spans="2:10" ht="12.75" customHeight="1" x14ac:dyDescent="0.2">
      <c r="B37" s="163">
        <f t="shared" si="0"/>
        <v>45716</v>
      </c>
      <c r="C37" s="140">
        <f>IFERROR(VLOOKUP(TEXT(WEEKDAY(B37),"dddd"),Afspraken!$A$4:$G$8,7,FALSE),"")</f>
        <v>5.9999999999999982</v>
      </c>
      <c r="D37" s="146"/>
      <c r="E37" s="143">
        <v>6</v>
      </c>
      <c r="F37" s="15"/>
      <c r="G37" s="15"/>
      <c r="H37" s="45"/>
      <c r="I37" s="12"/>
    </row>
    <row r="38" spans="2:10" ht="12.75" customHeight="1" x14ac:dyDescent="0.2">
      <c r="B38" s="163" t="str">
        <f t="shared" si="0"/>
        <v/>
      </c>
      <c r="C38" s="140" t="str">
        <f>IFERROR(VLOOKUP(TEXT(WEEKDAY(B38),"dddd"),Afspraken!$A$4:$G$8,7,FALSE),"")</f>
        <v/>
      </c>
      <c r="D38" s="146"/>
      <c r="E38" s="144"/>
      <c r="F38" s="138"/>
      <c r="G38" s="138"/>
      <c r="H38" s="139"/>
      <c r="I38" s="12"/>
    </row>
    <row r="39" spans="2:10" ht="12.75" customHeight="1" x14ac:dyDescent="0.2">
      <c r="B39" s="163" t="str">
        <f>IF(MONTH(B37+2)&lt;&gt;$E$4,"",B37+2)</f>
        <v/>
      </c>
      <c r="C39" s="140" t="str">
        <f>IFERROR(VLOOKUP(TEXT(WEEKDAY(B39),"dddd"),Afspraken!$A$4:$G$8,7,FALSE),"")</f>
        <v/>
      </c>
      <c r="D39" s="146"/>
      <c r="E39" s="141"/>
      <c r="F39" s="13"/>
      <c r="G39" s="13"/>
      <c r="H39" s="44"/>
      <c r="I39" s="12"/>
    </row>
    <row r="40" spans="2:10" ht="12.75" customHeight="1" thickBot="1" x14ac:dyDescent="0.25">
      <c r="B40" s="164" t="str">
        <f>IF(MONTH(B37+3)&lt;&gt;$E$4,"",B37+3)</f>
        <v/>
      </c>
      <c r="C40" s="165" t="str">
        <f>IFERROR(VLOOKUP(TEXT(WEEKDAY(B40),"dddd"),Afspraken!$A$4:$G$8,7,FALSE),"")</f>
        <v/>
      </c>
      <c r="D40" s="166"/>
      <c r="E40" s="167"/>
      <c r="F40" s="168"/>
      <c r="G40" s="168"/>
      <c r="H40" s="169"/>
      <c r="I40" s="12"/>
    </row>
    <row r="41" spans="2:10" s="14" customFormat="1" ht="12.75" customHeight="1" thickBot="1" x14ac:dyDescent="0.25">
      <c r="B41" s="21"/>
      <c r="C41" s="20"/>
      <c r="D41" s="175"/>
      <c r="E41" s="22"/>
      <c r="F41" s="175"/>
      <c r="G41" s="175"/>
      <c r="H41" s="175"/>
      <c r="I41" s="174"/>
    </row>
    <row r="42" spans="2:10" ht="12.75" thickBot="1" x14ac:dyDescent="0.25">
      <c r="B42" s="177" t="s">
        <v>18</v>
      </c>
      <c r="C42" s="171">
        <f>SUM(C10:C40)</f>
        <v>160</v>
      </c>
      <c r="D42" s="172">
        <f t="shared" ref="D42:H42" si="1">SUM(D10:D40)</f>
        <v>0</v>
      </c>
      <c r="E42" s="171">
        <f t="shared" si="1"/>
        <v>119.5</v>
      </c>
      <c r="F42" s="171">
        <f t="shared" si="1"/>
        <v>26</v>
      </c>
      <c r="G42" s="171">
        <f t="shared" si="1"/>
        <v>14.5</v>
      </c>
      <c r="H42" s="173">
        <f t="shared" si="1"/>
        <v>0</v>
      </c>
      <c r="I42" s="3"/>
      <c r="J42" s="8"/>
    </row>
    <row r="43" spans="2:10" x14ac:dyDescent="0.2">
      <c r="B43" s="6"/>
      <c r="C43" s="7"/>
      <c r="D43" s="176"/>
      <c r="E43" s="23"/>
      <c r="F43" s="176"/>
      <c r="G43" s="176"/>
      <c r="H43" s="176"/>
      <c r="I43" s="11"/>
      <c r="J43" s="8"/>
    </row>
    <row r="44" spans="2:10" x14ac:dyDescent="0.2">
      <c r="B44" s="6"/>
      <c r="C44" s="7"/>
      <c r="D44" s="16"/>
      <c r="E44" s="23"/>
      <c r="F44" s="16"/>
      <c r="G44" s="16"/>
      <c r="H44" s="16"/>
      <c r="I44" s="17"/>
      <c r="J44" s="8"/>
    </row>
    <row r="45" spans="2:10" x14ac:dyDescent="0.2">
      <c r="B45" s="9"/>
      <c r="D45" s="16"/>
      <c r="E45" s="4"/>
      <c r="F45" s="16"/>
      <c r="G45" s="16"/>
      <c r="H45" s="16"/>
      <c r="I45" s="17"/>
    </row>
    <row r="46" spans="2:10" x14ac:dyDescent="0.2">
      <c r="B46" s="322"/>
      <c r="C46" s="323"/>
      <c r="D46" s="4"/>
      <c r="E46" s="4"/>
      <c r="F46" s="4"/>
      <c r="G46" s="322"/>
      <c r="H46" s="322"/>
    </row>
    <row r="47" spans="2:10" x14ac:dyDescent="0.2">
      <c r="B47" s="2"/>
      <c r="C47" s="2"/>
      <c r="D47" s="2"/>
      <c r="E47" s="4"/>
      <c r="F47" s="2"/>
      <c r="G47" s="2"/>
      <c r="H47" s="2"/>
    </row>
    <row r="48" spans="2:10" x14ac:dyDescent="0.2">
      <c r="B48" s="2"/>
      <c r="C48" s="2"/>
      <c r="D48" s="2"/>
      <c r="E48" s="4"/>
      <c r="F48" s="2"/>
      <c r="G48" s="2"/>
      <c r="H48" s="2"/>
    </row>
    <row r="49" spans="2:9" x14ac:dyDescent="0.2">
      <c r="B49" s="2"/>
      <c r="C49" s="2"/>
      <c r="D49" s="2"/>
      <c r="E49" s="24"/>
      <c r="F49" s="2"/>
      <c r="G49" s="2"/>
      <c r="H49" s="2"/>
    </row>
    <row r="50" spans="2:9" x14ac:dyDescent="0.2">
      <c r="B50" s="9"/>
      <c r="C50" s="18"/>
      <c r="D50" s="18"/>
      <c r="E50" s="24"/>
      <c r="F50" s="18"/>
      <c r="G50" s="18"/>
      <c r="H50" s="18"/>
    </row>
    <row r="51" spans="2:9" x14ac:dyDescent="0.2">
      <c r="B51" s="9"/>
      <c r="C51" s="18"/>
      <c r="D51" s="18"/>
      <c r="E51" s="24"/>
      <c r="F51" s="18"/>
      <c r="G51" s="18"/>
      <c r="H51" s="18"/>
      <c r="I51" s="3"/>
    </row>
    <row r="52" spans="2:9" x14ac:dyDescent="0.2">
      <c r="B52" s="9"/>
      <c r="C52" s="18"/>
      <c r="D52" s="18"/>
      <c r="E52" s="24"/>
      <c r="F52" s="18"/>
      <c r="G52" s="18"/>
      <c r="H52" s="18"/>
      <c r="I52" s="3"/>
    </row>
    <row r="53" spans="2:9" x14ac:dyDescent="0.2">
      <c r="B53" s="9"/>
      <c r="C53" s="18"/>
      <c r="D53" s="18"/>
      <c r="F53" s="18"/>
      <c r="G53" s="18"/>
      <c r="H53" s="18"/>
      <c r="I53" s="3"/>
    </row>
  </sheetData>
  <mergeCells count="2">
    <mergeCell ref="B46:C46"/>
    <mergeCell ref="G46:H46"/>
  </mergeCells>
  <conditionalFormatting sqref="B10:H40">
    <cfRule type="expression" dxfId="10" priority="1">
      <formula>WEEKDAY($B10,2)&gt;=6</formula>
    </cfRule>
  </conditionalFormatting>
  <pageMargins left="0.7" right="0.7" top="0.75" bottom="0.75" header="0.3" footer="0.3"/>
  <pageSetup paperSize="9" scale="6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J53"/>
  <sheetViews>
    <sheetView workbookViewId="0">
      <selection activeCell="D43" sqref="D43"/>
    </sheetView>
  </sheetViews>
  <sheetFormatPr defaultColWidth="13.42578125" defaultRowHeight="12" x14ac:dyDescent="0.2"/>
  <cols>
    <col min="1" max="1" width="8.7109375" style="3" customWidth="1"/>
    <col min="2" max="2" width="13.42578125" style="19"/>
    <col min="3" max="3" width="11.7109375" style="3" bestFit="1" customWidth="1"/>
    <col min="4" max="4" width="17.7109375" style="3" bestFit="1" customWidth="1"/>
    <col min="5" max="5" width="10.7109375" style="14" bestFit="1" customWidth="1"/>
    <col min="6" max="6" width="5.5703125" style="3" bestFit="1" customWidth="1"/>
    <col min="7" max="7" width="5.85546875" style="3" bestFit="1" customWidth="1"/>
    <col min="8" max="8" width="15.140625" style="3" bestFit="1" customWidth="1"/>
    <col min="9" max="9" width="15.140625" style="5" bestFit="1" customWidth="1"/>
    <col min="10" max="16384" width="13.42578125" style="3"/>
  </cols>
  <sheetData>
    <row r="1" spans="2:10" x14ac:dyDescent="0.2">
      <c r="D1" s="14"/>
      <c r="E1" s="3"/>
      <c r="H1" s="5"/>
      <c r="I1" s="3"/>
    </row>
    <row r="2" spans="2:10" x14ac:dyDescent="0.2">
      <c r="B2" s="1" t="s">
        <v>0</v>
      </c>
      <c r="C2" s="2"/>
      <c r="D2" s="4"/>
      <c r="E2" s="2"/>
      <c r="F2" s="2"/>
      <c r="G2" s="2"/>
      <c r="H2" s="2"/>
      <c r="I2" s="3"/>
    </row>
    <row r="3" spans="2:10" x14ac:dyDescent="0.2">
      <c r="B3" s="2"/>
      <c r="C3" s="2"/>
      <c r="D3" s="4"/>
      <c r="E3" s="2"/>
      <c r="F3" s="2"/>
      <c r="G3" s="2"/>
      <c r="H3" s="2"/>
      <c r="I3" s="3"/>
    </row>
    <row r="4" spans="2:10" x14ac:dyDescent="0.2">
      <c r="B4" s="4" t="s">
        <v>1</v>
      </c>
      <c r="C4" s="2" t="str">
        <f>IF(Verlofoverzicht!D2="","",Verlofoverzicht!D2)</f>
        <v>Maickel</v>
      </c>
      <c r="D4" s="4" t="s">
        <v>2</v>
      </c>
      <c r="E4" s="2">
        <v>3</v>
      </c>
      <c r="F4" s="4" t="s">
        <v>3</v>
      </c>
      <c r="G4" s="5">
        <f>Verlofoverzicht!$O$2</f>
        <v>2025</v>
      </c>
      <c r="H4" s="2"/>
      <c r="I4" s="3"/>
    </row>
    <row r="5" spans="2:10" ht="6" customHeight="1" x14ac:dyDescent="0.2">
      <c r="B5" s="6"/>
      <c r="C5" s="2"/>
      <c r="D5" s="4"/>
      <c r="E5" s="3"/>
      <c r="F5" s="2"/>
      <c r="G5" s="2"/>
      <c r="H5" s="2"/>
      <c r="I5" s="3"/>
    </row>
    <row r="6" spans="2:10" ht="12" customHeight="1" x14ac:dyDescent="0.2">
      <c r="B6" s="4" t="s">
        <v>5</v>
      </c>
      <c r="C6" s="5">
        <v>38</v>
      </c>
      <c r="D6" s="4" t="s">
        <v>6</v>
      </c>
      <c r="E6" s="2" t="s">
        <v>7</v>
      </c>
      <c r="F6" s="4"/>
      <c r="G6" s="8"/>
      <c r="H6" s="2"/>
      <c r="I6" s="3"/>
    </row>
    <row r="7" spans="2:10" ht="12" customHeight="1" thickBot="1" x14ac:dyDescent="0.25">
      <c r="B7" s="9"/>
      <c r="C7" s="2"/>
      <c r="D7" s="4"/>
      <c r="E7" s="2"/>
      <c r="F7" s="2"/>
      <c r="G7" s="2"/>
      <c r="H7" s="2"/>
      <c r="I7" s="3"/>
    </row>
    <row r="8" spans="2:10" s="7" customFormat="1" ht="12.75" thickBot="1" x14ac:dyDescent="0.25">
      <c r="B8" s="151" t="s">
        <v>8</v>
      </c>
      <c r="C8" s="152" t="s">
        <v>9</v>
      </c>
      <c r="D8" s="153" t="s">
        <v>20</v>
      </c>
      <c r="E8" s="152" t="s">
        <v>10</v>
      </c>
      <c r="F8" s="152" t="s">
        <v>11</v>
      </c>
      <c r="G8" s="152" t="s">
        <v>12</v>
      </c>
      <c r="H8" s="154" t="s">
        <v>59</v>
      </c>
    </row>
    <row r="9" spans="2:10" s="8" customFormat="1" ht="13.5" customHeight="1" thickBot="1" x14ac:dyDescent="0.25">
      <c r="B9" s="147"/>
      <c r="C9" s="148"/>
      <c r="D9" s="149" t="s">
        <v>73</v>
      </c>
      <c r="E9" s="148"/>
      <c r="F9" s="148"/>
      <c r="G9" s="148"/>
      <c r="H9" s="150"/>
    </row>
    <row r="10" spans="2:10" s="12" customFormat="1" ht="12.75" customHeight="1" x14ac:dyDescent="0.2">
      <c r="B10" s="157">
        <f>DATE(G4,E4,1)</f>
        <v>45717</v>
      </c>
      <c r="C10" s="158" t="str">
        <f>IFERROR(VLOOKUP(TEXT(WEEKDAY(B10),"dddd"),Afspraken!$A$4:$G$8,7,FALSE),"")</f>
        <v/>
      </c>
      <c r="D10" s="159"/>
      <c r="E10" s="160"/>
      <c r="F10" s="161"/>
      <c r="G10" s="161"/>
      <c r="H10" s="162"/>
    </row>
    <row r="11" spans="2:10" ht="12.75" customHeight="1" x14ac:dyDescent="0.2">
      <c r="B11" s="163">
        <f>IF(MONTH(B10+1)&lt;&gt;$E$4,"",B10+1)</f>
        <v>45718</v>
      </c>
      <c r="C11" s="140" t="str">
        <f>IFERROR(VLOOKUP(TEXT(WEEKDAY(B11),"dddd"),Afspraken!$A$4:$G$8,7,FALSE),"")</f>
        <v/>
      </c>
      <c r="D11" s="146"/>
      <c r="E11" s="141"/>
      <c r="F11" s="13"/>
      <c r="G11" s="13"/>
      <c r="H11" s="43"/>
      <c r="I11" s="12"/>
      <c r="J11" s="12"/>
    </row>
    <row r="12" spans="2:10" ht="12.75" customHeight="1" x14ac:dyDescent="0.2">
      <c r="B12" s="163">
        <f t="shared" ref="B12:B38" si="0">IF(MONTH(B11+1)&lt;&gt;$E$4,"",B11+1)</f>
        <v>45719</v>
      </c>
      <c r="C12" s="140">
        <f>IFERROR(VLOOKUP(TEXT(WEEKDAY(B12),"dddd"),Afspraken!$A$4:$G$8,7,FALSE),"")</f>
        <v>8.5</v>
      </c>
      <c r="D12" s="146" t="s">
        <v>110</v>
      </c>
      <c r="E12" s="141">
        <v>8.5</v>
      </c>
      <c r="F12" s="13"/>
      <c r="G12" s="13"/>
      <c r="H12" s="43"/>
      <c r="I12" s="12"/>
      <c r="J12" s="12"/>
    </row>
    <row r="13" spans="2:10" ht="12.75" customHeight="1" x14ac:dyDescent="0.2">
      <c r="B13" s="163">
        <f t="shared" si="0"/>
        <v>45720</v>
      </c>
      <c r="C13" s="140">
        <f>IFERROR(VLOOKUP(TEXT(WEEKDAY(B13),"dddd"),Afspraken!$A$4:$G$8,7,FALSE),"")</f>
        <v>8.5</v>
      </c>
      <c r="D13" s="146"/>
      <c r="E13" s="141">
        <v>8.5</v>
      </c>
      <c r="F13" s="13"/>
      <c r="G13" s="13"/>
      <c r="H13" s="43"/>
      <c r="I13" s="12"/>
      <c r="J13" s="12"/>
    </row>
    <row r="14" spans="2:10" ht="12.75" customHeight="1" x14ac:dyDescent="0.2">
      <c r="B14" s="163">
        <f t="shared" si="0"/>
        <v>45721</v>
      </c>
      <c r="C14" s="140">
        <f>IFERROR(VLOOKUP(TEXT(WEEKDAY(B14),"dddd"),Afspraken!$A$4:$G$8,7,FALSE),"")</f>
        <v>8.5</v>
      </c>
      <c r="D14" s="146"/>
      <c r="E14" s="141"/>
      <c r="F14" s="13"/>
      <c r="G14" s="13">
        <v>8.5</v>
      </c>
      <c r="H14" s="43"/>
      <c r="I14" s="12"/>
      <c r="J14" s="12"/>
    </row>
    <row r="15" spans="2:10" ht="12.75" customHeight="1" x14ac:dyDescent="0.2">
      <c r="B15" s="163">
        <f t="shared" si="0"/>
        <v>45722</v>
      </c>
      <c r="C15" s="140">
        <f>IFERROR(VLOOKUP(TEXT(WEEKDAY(B15),"dddd"),Afspraken!$A$4:$G$8,7,FALSE),"")</f>
        <v>8.5</v>
      </c>
      <c r="D15" s="146"/>
      <c r="E15" s="142"/>
      <c r="F15" s="13"/>
      <c r="G15" s="13">
        <v>8.5</v>
      </c>
      <c r="H15" s="44"/>
      <c r="I15" s="12"/>
      <c r="J15" s="12"/>
    </row>
    <row r="16" spans="2:10" ht="12.75" customHeight="1" x14ac:dyDescent="0.2">
      <c r="B16" s="163">
        <f t="shared" si="0"/>
        <v>45723</v>
      </c>
      <c r="C16" s="140">
        <f>IFERROR(VLOOKUP(TEXT(WEEKDAY(B16),"dddd"),Afspraken!$A$4:$G$8,7,FALSE),"")</f>
        <v>5.9999999999999982</v>
      </c>
      <c r="D16" s="146"/>
      <c r="E16" s="143"/>
      <c r="F16" s="15"/>
      <c r="G16" s="15">
        <v>6</v>
      </c>
      <c r="H16" s="45"/>
      <c r="I16" s="12"/>
    </row>
    <row r="17" spans="2:9" ht="12.75" customHeight="1" x14ac:dyDescent="0.2">
      <c r="B17" s="163">
        <f t="shared" si="0"/>
        <v>45724</v>
      </c>
      <c r="C17" s="140" t="str">
        <f>IFERROR(VLOOKUP(TEXT(WEEKDAY(B17),"dddd"),Afspraken!$A$4:$G$8,7,FALSE),"")</f>
        <v/>
      </c>
      <c r="D17" s="146"/>
      <c r="E17" s="141"/>
      <c r="F17" s="10"/>
      <c r="G17" s="10"/>
      <c r="H17" s="43"/>
      <c r="I17" s="12"/>
    </row>
    <row r="18" spans="2:9" ht="12.75" customHeight="1" x14ac:dyDescent="0.2">
      <c r="B18" s="163">
        <f t="shared" si="0"/>
        <v>45725</v>
      </c>
      <c r="C18" s="140" t="str">
        <f>IFERROR(VLOOKUP(TEXT(WEEKDAY(B18),"dddd"),Afspraken!$A$4:$G$8,7,FALSE),"")</f>
        <v/>
      </c>
      <c r="D18" s="146"/>
      <c r="E18" s="141"/>
      <c r="F18" s="13"/>
      <c r="G18" s="13"/>
      <c r="H18" s="43"/>
      <c r="I18" s="12"/>
    </row>
    <row r="19" spans="2:9" ht="12.75" customHeight="1" x14ac:dyDescent="0.2">
      <c r="B19" s="163">
        <f t="shared" si="0"/>
        <v>45726</v>
      </c>
      <c r="C19" s="140">
        <f>IFERROR(VLOOKUP(TEXT(WEEKDAY(B19),"dddd"),Afspraken!$A$4:$G$8,7,FALSE),"")</f>
        <v>8.5</v>
      </c>
      <c r="D19" s="146" t="s">
        <v>110</v>
      </c>
      <c r="E19" s="141">
        <v>8.5</v>
      </c>
      <c r="F19" s="13"/>
      <c r="G19" s="13"/>
      <c r="H19" s="43"/>
      <c r="I19" s="12"/>
    </row>
    <row r="20" spans="2:9" ht="12.75" customHeight="1" x14ac:dyDescent="0.2">
      <c r="B20" s="163">
        <f t="shared" si="0"/>
        <v>45727</v>
      </c>
      <c r="C20" s="140">
        <f>IFERROR(VLOOKUP(TEXT(WEEKDAY(B20),"dddd"),Afspraken!$A$4:$G$8,7,FALSE),"")</f>
        <v>8.5</v>
      </c>
      <c r="D20" s="146"/>
      <c r="E20" s="141">
        <v>8.5</v>
      </c>
      <c r="F20" s="13"/>
      <c r="G20" s="13"/>
      <c r="H20" s="43"/>
      <c r="I20" s="12"/>
    </row>
    <row r="21" spans="2:9" ht="12.75" customHeight="1" x14ac:dyDescent="0.2">
      <c r="B21" s="163">
        <f t="shared" si="0"/>
        <v>45728</v>
      </c>
      <c r="C21" s="140">
        <f>IFERROR(VLOOKUP(TEXT(WEEKDAY(B21),"dddd"),Afspraken!$A$4:$G$8,7,FALSE),"")</f>
        <v>8.5</v>
      </c>
      <c r="D21" s="146" t="s">
        <v>110</v>
      </c>
      <c r="E21" s="141">
        <v>8.5</v>
      </c>
      <c r="F21" s="13"/>
      <c r="G21" s="13"/>
      <c r="H21" s="44"/>
      <c r="I21" s="12"/>
    </row>
    <row r="22" spans="2:9" ht="12.75" customHeight="1" x14ac:dyDescent="0.2">
      <c r="B22" s="163">
        <f t="shared" si="0"/>
        <v>45729</v>
      </c>
      <c r="C22" s="140">
        <f>IFERROR(VLOOKUP(TEXT(WEEKDAY(B22),"dddd"),Afspraken!$A$4:$G$8,7,FALSE),"")</f>
        <v>8.5</v>
      </c>
      <c r="D22" s="146" t="s">
        <v>110</v>
      </c>
      <c r="E22" s="143">
        <v>8.5</v>
      </c>
      <c r="F22" s="15"/>
      <c r="G22" s="15"/>
      <c r="H22" s="45"/>
      <c r="I22" s="12"/>
    </row>
    <row r="23" spans="2:9" ht="12.75" customHeight="1" x14ac:dyDescent="0.2">
      <c r="B23" s="163">
        <f t="shared" si="0"/>
        <v>45730</v>
      </c>
      <c r="C23" s="140">
        <f>IFERROR(VLOOKUP(TEXT(WEEKDAY(B23),"dddd"),Afspraken!$A$4:$G$8,7,FALSE),"")</f>
        <v>5.9999999999999982</v>
      </c>
      <c r="D23" s="146" t="s">
        <v>110</v>
      </c>
      <c r="E23" s="143">
        <v>6</v>
      </c>
      <c r="F23" s="15"/>
      <c r="G23" s="15"/>
      <c r="H23" s="45"/>
      <c r="I23" s="12"/>
    </row>
    <row r="24" spans="2:9" ht="12.75" customHeight="1" x14ac:dyDescent="0.2">
      <c r="B24" s="163">
        <f t="shared" si="0"/>
        <v>45731</v>
      </c>
      <c r="C24" s="140" t="str">
        <f>IFERROR(VLOOKUP(TEXT(WEEKDAY(B24),"dddd"),Afspraken!$A$4:$G$8,7,FALSE),"")</f>
        <v/>
      </c>
      <c r="D24" s="146"/>
      <c r="E24" s="141"/>
      <c r="F24" s="10"/>
      <c r="G24" s="10"/>
      <c r="H24" s="43"/>
      <c r="I24" s="12"/>
    </row>
    <row r="25" spans="2:9" ht="12.75" customHeight="1" x14ac:dyDescent="0.2">
      <c r="B25" s="163">
        <f t="shared" si="0"/>
        <v>45732</v>
      </c>
      <c r="C25" s="140" t="str">
        <f>IFERROR(VLOOKUP(TEXT(WEEKDAY(B25),"dddd"),Afspraken!$A$4:$G$8,7,FALSE),"")</f>
        <v/>
      </c>
      <c r="D25" s="146"/>
      <c r="E25" s="141"/>
      <c r="F25" s="13"/>
      <c r="G25" s="13"/>
      <c r="H25" s="44"/>
      <c r="I25" s="12"/>
    </row>
    <row r="26" spans="2:9" ht="12.75" customHeight="1" x14ac:dyDescent="0.2">
      <c r="B26" s="163">
        <f t="shared" si="0"/>
        <v>45733</v>
      </c>
      <c r="C26" s="140">
        <f>IFERROR(VLOOKUP(TEXT(WEEKDAY(B26),"dddd"),Afspraken!$A$4:$G$8,7,FALSE),"")</f>
        <v>8.5</v>
      </c>
      <c r="D26" s="146" t="s">
        <v>110</v>
      </c>
      <c r="E26" s="141">
        <v>8.5</v>
      </c>
      <c r="F26" s="13"/>
      <c r="G26" s="13"/>
      <c r="H26" s="44"/>
      <c r="I26" s="12"/>
    </row>
    <row r="27" spans="2:9" ht="12.75" customHeight="1" x14ac:dyDescent="0.2">
      <c r="B27" s="163">
        <f t="shared" si="0"/>
        <v>45734</v>
      </c>
      <c r="C27" s="140">
        <f>IFERROR(VLOOKUP(TEXT(WEEKDAY(B27),"dddd"),Afspraken!$A$4:$G$8,7,FALSE),"")</f>
        <v>8.5</v>
      </c>
      <c r="D27" s="146" t="s">
        <v>110</v>
      </c>
      <c r="E27" s="141">
        <v>8.5</v>
      </c>
      <c r="F27" s="13"/>
      <c r="G27" s="13"/>
      <c r="H27" s="44"/>
      <c r="I27" s="12"/>
    </row>
    <row r="28" spans="2:9" ht="12.75" customHeight="1" x14ac:dyDescent="0.2">
      <c r="B28" s="163">
        <f t="shared" si="0"/>
        <v>45735</v>
      </c>
      <c r="C28" s="140">
        <f>IFERROR(VLOOKUP(TEXT(WEEKDAY(B28),"dddd"),Afspraken!$A$4:$G$8,7,FALSE),"")</f>
        <v>8.5</v>
      </c>
      <c r="D28" s="146"/>
      <c r="E28" s="141">
        <v>8.5</v>
      </c>
      <c r="F28" s="13"/>
      <c r="G28" s="13"/>
      <c r="H28" s="44"/>
      <c r="I28" s="12"/>
    </row>
    <row r="29" spans="2:9" ht="12.75" customHeight="1" x14ac:dyDescent="0.2">
      <c r="B29" s="163">
        <f t="shared" si="0"/>
        <v>45736</v>
      </c>
      <c r="C29" s="140">
        <f>IFERROR(VLOOKUP(TEXT(WEEKDAY(B29),"dddd"),Afspraken!$A$4:$G$8,7,FALSE),"")</f>
        <v>8.5</v>
      </c>
      <c r="D29" s="146"/>
      <c r="E29" s="143">
        <v>5.5</v>
      </c>
      <c r="F29" s="15"/>
      <c r="G29" s="15">
        <v>3</v>
      </c>
      <c r="H29" s="45"/>
      <c r="I29" s="12"/>
    </row>
    <row r="30" spans="2:9" ht="12.75" customHeight="1" x14ac:dyDescent="0.2">
      <c r="B30" s="163">
        <f t="shared" si="0"/>
        <v>45737</v>
      </c>
      <c r="C30" s="140">
        <f>IFERROR(VLOOKUP(TEXT(WEEKDAY(B30),"dddd"),Afspraken!$A$4:$G$8,7,FALSE),"")</f>
        <v>5.9999999999999982</v>
      </c>
      <c r="D30" s="146"/>
      <c r="E30" s="143">
        <v>6</v>
      </c>
      <c r="F30" s="15"/>
      <c r="G30" s="15"/>
      <c r="H30" s="45"/>
      <c r="I30" s="12"/>
    </row>
    <row r="31" spans="2:9" ht="12.75" customHeight="1" x14ac:dyDescent="0.2">
      <c r="B31" s="163">
        <f t="shared" si="0"/>
        <v>45738</v>
      </c>
      <c r="C31" s="140" t="str">
        <f>IFERROR(VLOOKUP(TEXT(WEEKDAY(B31),"dddd"),Afspraken!$A$4:$G$8,7,FALSE),"")</f>
        <v/>
      </c>
      <c r="D31" s="146"/>
      <c r="E31" s="141"/>
      <c r="F31" s="10"/>
      <c r="G31" s="10"/>
      <c r="H31" s="43"/>
      <c r="I31" s="12"/>
    </row>
    <row r="32" spans="2:9" ht="12.75" customHeight="1" x14ac:dyDescent="0.2">
      <c r="B32" s="163">
        <f t="shared" si="0"/>
        <v>45739</v>
      </c>
      <c r="C32" s="140" t="str">
        <f>IFERROR(VLOOKUP(TEXT(WEEKDAY(B32),"dddd"),Afspraken!$A$4:$G$8,7,FALSE),"")</f>
        <v/>
      </c>
      <c r="D32" s="146"/>
      <c r="E32" s="141"/>
      <c r="F32" s="13"/>
      <c r="G32" s="13"/>
      <c r="H32" s="44"/>
      <c r="I32" s="12"/>
    </row>
    <row r="33" spans="2:10" ht="12.75" customHeight="1" x14ac:dyDescent="0.2">
      <c r="B33" s="163">
        <f t="shared" si="0"/>
        <v>45740</v>
      </c>
      <c r="C33" s="140">
        <f>IFERROR(VLOOKUP(TEXT(WEEKDAY(B33),"dddd"),Afspraken!$A$4:$G$8,7,FALSE),"")</f>
        <v>8.5</v>
      </c>
      <c r="D33" s="146"/>
      <c r="E33" s="141">
        <v>8.5</v>
      </c>
      <c r="F33" s="13"/>
      <c r="G33" s="13"/>
      <c r="H33" s="44"/>
      <c r="I33" s="12"/>
    </row>
    <row r="34" spans="2:10" ht="12.75" customHeight="1" x14ac:dyDescent="0.2">
      <c r="B34" s="163">
        <f t="shared" si="0"/>
        <v>45741</v>
      </c>
      <c r="C34" s="140">
        <f>IFERROR(VLOOKUP(TEXT(WEEKDAY(B34),"dddd"),Afspraken!$A$4:$G$8,7,FALSE),"")</f>
        <v>8.5</v>
      </c>
      <c r="D34" s="146"/>
      <c r="E34" s="141">
        <v>8.5</v>
      </c>
      <c r="F34" s="13"/>
      <c r="G34" s="13"/>
      <c r="H34" s="44"/>
      <c r="I34" s="12"/>
    </row>
    <row r="35" spans="2:10" ht="12.75" customHeight="1" x14ac:dyDescent="0.2">
      <c r="B35" s="163">
        <f t="shared" si="0"/>
        <v>45742</v>
      </c>
      <c r="C35" s="140">
        <f>IFERROR(VLOOKUP(TEXT(WEEKDAY(B35),"dddd"),Afspraken!$A$4:$G$8,7,FALSE),"")</f>
        <v>8.5</v>
      </c>
      <c r="D35" s="146"/>
      <c r="E35" s="141">
        <v>5.5</v>
      </c>
      <c r="F35" s="13"/>
      <c r="G35" s="13">
        <v>3</v>
      </c>
      <c r="H35" s="44"/>
      <c r="I35" s="12"/>
    </row>
    <row r="36" spans="2:10" ht="12.75" customHeight="1" x14ac:dyDescent="0.2">
      <c r="B36" s="163">
        <f t="shared" si="0"/>
        <v>45743</v>
      </c>
      <c r="C36" s="140">
        <f>IFERROR(VLOOKUP(TEXT(WEEKDAY(B36),"dddd"),Afspraken!$A$4:$G$8,7,FALSE),"")</f>
        <v>8.5</v>
      </c>
      <c r="D36" s="146"/>
      <c r="E36" s="143">
        <v>6.25</v>
      </c>
      <c r="F36" s="15"/>
      <c r="G36" s="15">
        <v>2.25</v>
      </c>
      <c r="H36" s="45"/>
      <c r="I36" s="12"/>
    </row>
    <row r="37" spans="2:10" ht="12.75" customHeight="1" x14ac:dyDescent="0.2">
      <c r="B37" s="163">
        <f t="shared" si="0"/>
        <v>45744</v>
      </c>
      <c r="C37" s="140">
        <f>IFERROR(VLOOKUP(TEXT(WEEKDAY(B37),"dddd"),Afspraken!$A$4:$G$8,7,FALSE),"")</f>
        <v>5.9999999999999982</v>
      </c>
      <c r="D37" s="146"/>
      <c r="E37" s="143">
        <v>6</v>
      </c>
      <c r="F37" s="15"/>
      <c r="G37" s="15"/>
      <c r="H37" s="45"/>
      <c r="I37" s="12"/>
    </row>
    <row r="38" spans="2:10" ht="12.75" customHeight="1" x14ac:dyDescent="0.2">
      <c r="B38" s="163">
        <f t="shared" si="0"/>
        <v>45745</v>
      </c>
      <c r="C38" s="140" t="str">
        <f>IFERROR(VLOOKUP(TEXT(WEEKDAY(B38),"dddd"),Afspraken!$A$4:$G$8,7,FALSE),"")</f>
        <v/>
      </c>
      <c r="D38" s="146"/>
      <c r="E38" s="144"/>
      <c r="F38" s="138"/>
      <c r="G38" s="138"/>
      <c r="H38" s="139"/>
      <c r="I38" s="12"/>
    </row>
    <row r="39" spans="2:10" ht="12.75" customHeight="1" x14ac:dyDescent="0.2">
      <c r="B39" s="163">
        <f>IF(MONTH(B37+2)&lt;&gt;$E$4,"",B37+2)</f>
        <v>45746</v>
      </c>
      <c r="C39" s="140" t="str">
        <f>IFERROR(VLOOKUP(TEXT(WEEKDAY(B39),"dddd"),Afspraken!$A$4:$G$8,7,FALSE),"")</f>
        <v/>
      </c>
      <c r="D39" s="146"/>
      <c r="E39" s="141"/>
      <c r="F39" s="13"/>
      <c r="G39" s="13"/>
      <c r="H39" s="44"/>
      <c r="I39" s="12"/>
    </row>
    <row r="40" spans="2:10" ht="12.75" customHeight="1" thickBot="1" x14ac:dyDescent="0.25">
      <c r="B40" s="164">
        <f>IF(MONTH(B37+3)&lt;&gt;$E$4,"",B37+3)</f>
        <v>45747</v>
      </c>
      <c r="C40" s="165">
        <f>IFERROR(VLOOKUP(TEXT(WEEKDAY(B40),"dddd"),Afspraken!$A$4:$G$8,7,FALSE),"")</f>
        <v>8.5</v>
      </c>
      <c r="D40" s="166"/>
      <c r="E40" s="167">
        <v>8.5</v>
      </c>
      <c r="F40" s="168"/>
      <c r="G40" s="168"/>
      <c r="H40" s="169"/>
      <c r="I40" s="12"/>
    </row>
    <row r="41" spans="2:10" s="14" customFormat="1" ht="12.75" customHeight="1" thickBot="1" x14ac:dyDescent="0.25">
      <c r="B41" s="21"/>
      <c r="C41" s="20"/>
      <c r="D41" s="175"/>
      <c r="E41" s="22"/>
      <c r="F41" s="175"/>
      <c r="G41" s="175"/>
      <c r="H41" s="175"/>
      <c r="I41" s="174"/>
    </row>
    <row r="42" spans="2:10" ht="12.75" thickBot="1" x14ac:dyDescent="0.25">
      <c r="B42" s="177" t="s">
        <v>18</v>
      </c>
      <c r="C42" s="171">
        <f>SUM(C10:C40)</f>
        <v>168.5</v>
      </c>
      <c r="D42" s="172">
        <v>7</v>
      </c>
      <c r="E42" s="171">
        <f t="shared" ref="E42:H42" si="1">SUM(E10:E40)</f>
        <v>137.25</v>
      </c>
      <c r="F42" s="171">
        <f t="shared" si="1"/>
        <v>0</v>
      </c>
      <c r="G42" s="171">
        <f t="shared" si="1"/>
        <v>31.25</v>
      </c>
      <c r="H42" s="173">
        <f t="shared" si="1"/>
        <v>0</v>
      </c>
      <c r="I42" s="3"/>
      <c r="J42" s="8"/>
    </row>
    <row r="43" spans="2:10" x14ac:dyDescent="0.2">
      <c r="B43" s="6"/>
      <c r="C43" s="7"/>
      <c r="D43" s="176"/>
      <c r="E43" s="23"/>
      <c r="F43" s="176"/>
      <c r="G43" s="176"/>
      <c r="H43" s="176"/>
      <c r="I43" s="11"/>
      <c r="J43" s="8"/>
    </row>
    <row r="44" spans="2:10" x14ac:dyDescent="0.2">
      <c r="B44" s="6"/>
      <c r="C44" s="7"/>
      <c r="D44" s="16"/>
      <c r="E44" s="23"/>
      <c r="F44" s="16"/>
      <c r="G44" s="16"/>
      <c r="H44" s="16"/>
      <c r="I44" s="17"/>
      <c r="J44" s="8"/>
    </row>
    <row r="45" spans="2:10" x14ac:dyDescent="0.2">
      <c r="B45" s="9"/>
      <c r="D45" s="16"/>
      <c r="E45" s="4"/>
      <c r="F45" s="16"/>
      <c r="G45" s="16"/>
      <c r="H45" s="16"/>
      <c r="I45" s="17"/>
    </row>
    <row r="46" spans="2:10" x14ac:dyDescent="0.2">
      <c r="B46" s="322"/>
      <c r="C46" s="323"/>
      <c r="D46" s="4"/>
      <c r="E46" s="4"/>
      <c r="F46" s="4"/>
      <c r="G46" s="322"/>
      <c r="H46" s="322"/>
    </row>
    <row r="47" spans="2:10" x14ac:dyDescent="0.2">
      <c r="B47" s="2"/>
      <c r="C47" s="2"/>
      <c r="D47" s="2"/>
      <c r="E47" s="4"/>
      <c r="F47" s="2"/>
      <c r="G47" s="2"/>
      <c r="H47" s="2"/>
    </row>
    <row r="48" spans="2:10" x14ac:dyDescent="0.2">
      <c r="B48" s="2"/>
      <c r="C48" s="2"/>
      <c r="D48" s="2"/>
      <c r="E48" s="4"/>
      <c r="F48" s="2"/>
      <c r="G48" s="2"/>
      <c r="H48" s="2"/>
    </row>
    <row r="49" spans="2:9" x14ac:dyDescent="0.2">
      <c r="B49" s="2"/>
      <c r="C49" s="2"/>
      <c r="D49" s="2"/>
      <c r="E49" s="24"/>
      <c r="F49" s="2"/>
      <c r="G49" s="2"/>
      <c r="H49" s="2"/>
    </row>
    <row r="50" spans="2:9" x14ac:dyDescent="0.2">
      <c r="B50" s="9"/>
      <c r="C50" s="18"/>
      <c r="D50" s="18"/>
      <c r="E50" s="24"/>
      <c r="F50" s="18"/>
      <c r="G50" s="18"/>
      <c r="H50" s="18"/>
    </row>
    <row r="51" spans="2:9" x14ac:dyDescent="0.2">
      <c r="B51" s="9"/>
      <c r="C51" s="18"/>
      <c r="D51" s="18"/>
      <c r="E51" s="24"/>
      <c r="F51" s="18"/>
      <c r="G51" s="18"/>
      <c r="H51" s="18"/>
      <c r="I51" s="3"/>
    </row>
    <row r="52" spans="2:9" x14ac:dyDescent="0.2">
      <c r="B52" s="9"/>
      <c r="C52" s="18"/>
      <c r="D52" s="18"/>
      <c r="E52" s="24"/>
      <c r="F52" s="18"/>
      <c r="G52" s="18"/>
      <c r="H52" s="18"/>
      <c r="I52" s="3"/>
    </row>
    <row r="53" spans="2:9" x14ac:dyDescent="0.2">
      <c r="B53" s="9"/>
      <c r="C53" s="18"/>
      <c r="D53" s="18"/>
      <c r="F53" s="18"/>
      <c r="G53" s="18"/>
      <c r="H53" s="18"/>
      <c r="I53" s="3"/>
    </row>
  </sheetData>
  <mergeCells count="2">
    <mergeCell ref="B46:C46"/>
    <mergeCell ref="G46:H46"/>
  </mergeCells>
  <conditionalFormatting sqref="B10:H40">
    <cfRule type="expression" dxfId="9" priority="1">
      <formula>WEEKDAY($B10,2)&gt;=6</formula>
    </cfRule>
  </conditionalFormatting>
  <pageMargins left="0.70866141732283472" right="0.70866141732283472" top="0.74803149606299213" bottom="0.74803149606299213" header="0.31496062992125984" footer="0.31496062992125984"/>
  <pageSetup paperSize="9" scale="6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J53"/>
  <sheetViews>
    <sheetView workbookViewId="0">
      <selection activeCell="E40" sqref="E40"/>
    </sheetView>
  </sheetViews>
  <sheetFormatPr defaultColWidth="13.42578125" defaultRowHeight="12" x14ac:dyDescent="0.2"/>
  <cols>
    <col min="1" max="1" width="8.7109375" style="3" customWidth="1"/>
    <col min="2" max="2" width="13.42578125" style="19"/>
    <col min="3" max="3" width="11.7109375" style="3" bestFit="1" customWidth="1"/>
    <col min="4" max="4" width="17.7109375" style="3" bestFit="1" customWidth="1"/>
    <col min="5" max="5" width="10.7109375" style="14" bestFit="1" customWidth="1"/>
    <col min="6" max="6" width="5.5703125" style="3" bestFit="1" customWidth="1"/>
    <col min="7" max="7" width="5.85546875" style="3" bestFit="1" customWidth="1"/>
    <col min="8" max="8" width="15.140625" style="3" bestFit="1" customWidth="1"/>
    <col min="9" max="9" width="15.140625" style="5" bestFit="1" customWidth="1"/>
    <col min="10" max="16384" width="13.42578125" style="3"/>
  </cols>
  <sheetData>
    <row r="1" spans="2:10" x14ac:dyDescent="0.2">
      <c r="D1" s="14"/>
      <c r="E1" s="3"/>
      <c r="H1" s="5"/>
      <c r="I1" s="3"/>
    </row>
    <row r="2" spans="2:10" x14ac:dyDescent="0.2">
      <c r="B2" s="1" t="s">
        <v>0</v>
      </c>
      <c r="C2" s="2"/>
      <c r="D2" s="4"/>
      <c r="E2" s="2"/>
      <c r="F2" s="2"/>
      <c r="G2" s="2"/>
      <c r="H2" s="2"/>
      <c r="I2" s="3"/>
    </row>
    <row r="3" spans="2:10" x14ac:dyDescent="0.2">
      <c r="B3" s="2"/>
      <c r="C3" s="2"/>
      <c r="D3" s="4"/>
      <c r="E3" s="2"/>
      <c r="F3" s="2"/>
      <c r="G3" s="2"/>
      <c r="H3" s="2"/>
      <c r="I3" s="3"/>
    </row>
    <row r="4" spans="2:10" x14ac:dyDescent="0.2">
      <c r="B4" s="4" t="s">
        <v>1</v>
      </c>
      <c r="C4" s="2" t="str">
        <f>IF(Verlofoverzicht!D2="","",Verlofoverzicht!D2)</f>
        <v>Maickel</v>
      </c>
      <c r="D4" s="4" t="s">
        <v>2</v>
      </c>
      <c r="E4" s="2">
        <v>4</v>
      </c>
      <c r="F4" s="4" t="s">
        <v>3</v>
      </c>
      <c r="G4" s="5">
        <f>Verlofoverzicht!$O$2</f>
        <v>2025</v>
      </c>
      <c r="H4" s="2"/>
      <c r="I4" s="3"/>
    </row>
    <row r="5" spans="2:10" ht="6" customHeight="1" x14ac:dyDescent="0.2">
      <c r="B5" s="6"/>
      <c r="C5" s="2"/>
      <c r="D5" s="4"/>
      <c r="E5" s="3"/>
      <c r="F5" s="2"/>
      <c r="G5" s="2"/>
      <c r="H5" s="2"/>
      <c r="I5" s="3"/>
    </row>
    <row r="6" spans="2:10" ht="12" customHeight="1" x14ac:dyDescent="0.2">
      <c r="B6" s="4" t="s">
        <v>5</v>
      </c>
      <c r="C6" s="5">
        <v>38</v>
      </c>
      <c r="D6" s="4" t="s">
        <v>6</v>
      </c>
      <c r="E6" s="2" t="s">
        <v>7</v>
      </c>
      <c r="F6" s="4"/>
      <c r="G6" s="8"/>
      <c r="H6" s="2"/>
      <c r="I6" s="3"/>
    </row>
    <row r="7" spans="2:10" ht="12" customHeight="1" thickBot="1" x14ac:dyDescent="0.25">
      <c r="B7" s="9"/>
      <c r="C7" s="2"/>
      <c r="D7" s="4"/>
      <c r="E7" s="2"/>
      <c r="F7" s="2"/>
      <c r="G7" s="2"/>
      <c r="H7" s="2"/>
      <c r="I7" s="3"/>
    </row>
    <row r="8" spans="2:10" s="7" customFormat="1" ht="12.75" thickBot="1" x14ac:dyDescent="0.25">
      <c r="B8" s="151" t="s">
        <v>8</v>
      </c>
      <c r="C8" s="152" t="s">
        <v>9</v>
      </c>
      <c r="D8" s="153" t="s">
        <v>20</v>
      </c>
      <c r="E8" s="152" t="s">
        <v>10</v>
      </c>
      <c r="F8" s="152" t="s">
        <v>11</v>
      </c>
      <c r="G8" s="152" t="s">
        <v>12</v>
      </c>
      <c r="H8" s="154" t="s">
        <v>59</v>
      </c>
    </row>
    <row r="9" spans="2:10" s="8" customFormat="1" ht="13.5" customHeight="1" thickBot="1" x14ac:dyDescent="0.25">
      <c r="B9" s="147"/>
      <c r="C9" s="148"/>
      <c r="D9" s="149" t="s">
        <v>73</v>
      </c>
      <c r="E9" s="148"/>
      <c r="F9" s="148"/>
      <c r="G9" s="148"/>
      <c r="H9" s="150"/>
    </row>
    <row r="10" spans="2:10" s="12" customFormat="1" ht="12.75" customHeight="1" x14ac:dyDescent="0.2">
      <c r="B10" s="157">
        <f>DATE(G4,E4,1)</f>
        <v>45748</v>
      </c>
      <c r="C10" s="158">
        <f>IFERROR(VLOOKUP(TEXT(WEEKDAY(B10),"dddd"),Afspraken!$A$4:$G$8,7,FALSE),"")</f>
        <v>8.5</v>
      </c>
      <c r="D10" s="159" t="s">
        <v>110</v>
      </c>
      <c r="E10" s="160">
        <v>8.5</v>
      </c>
      <c r="F10" s="161"/>
      <c r="G10" s="161"/>
      <c r="H10" s="162"/>
    </row>
    <row r="11" spans="2:10" ht="12.75" customHeight="1" x14ac:dyDescent="0.2">
      <c r="B11" s="163">
        <f>IF(MONTH(B10+1)&lt;&gt;$E$4,"",B10+1)</f>
        <v>45749</v>
      </c>
      <c r="C11" s="140">
        <f>IFERROR(VLOOKUP(TEXT(WEEKDAY(B11),"dddd"),Afspraken!$A$4:$G$8,7,FALSE),"")</f>
        <v>8.5</v>
      </c>
      <c r="D11" s="146"/>
      <c r="E11" s="141">
        <v>8.5</v>
      </c>
      <c r="F11" s="13"/>
      <c r="G11" s="13"/>
      <c r="H11" s="43"/>
      <c r="I11" s="12"/>
      <c r="J11" s="12"/>
    </row>
    <row r="12" spans="2:10" ht="12.75" customHeight="1" x14ac:dyDescent="0.2">
      <c r="B12" s="163">
        <f t="shared" ref="B12:B38" si="0">IF(MONTH(B11+1)&lt;&gt;$E$4,"",B11+1)</f>
        <v>45750</v>
      </c>
      <c r="C12" s="140">
        <f>IFERROR(VLOOKUP(TEXT(WEEKDAY(B12),"dddd"),Afspraken!$A$4:$G$8,7,FALSE),"")</f>
        <v>8.5</v>
      </c>
      <c r="D12" s="146"/>
      <c r="E12" s="141">
        <v>8.5</v>
      </c>
      <c r="F12" s="13"/>
      <c r="G12" s="13"/>
      <c r="H12" s="43"/>
      <c r="I12" s="12"/>
      <c r="J12" s="12"/>
    </row>
    <row r="13" spans="2:10" ht="12.75" customHeight="1" x14ac:dyDescent="0.2">
      <c r="B13" s="163">
        <f t="shared" si="0"/>
        <v>45751</v>
      </c>
      <c r="C13" s="140">
        <f>IFERROR(VLOOKUP(TEXT(WEEKDAY(B13),"dddd"),Afspraken!$A$4:$G$8,7,FALSE),"")</f>
        <v>5.9999999999999982</v>
      </c>
      <c r="D13" s="146"/>
      <c r="E13" s="141">
        <v>6</v>
      </c>
      <c r="F13" s="13"/>
      <c r="G13" s="13"/>
      <c r="H13" s="43"/>
      <c r="I13" s="12"/>
      <c r="J13" s="12"/>
    </row>
    <row r="14" spans="2:10" ht="12.75" customHeight="1" x14ac:dyDescent="0.2">
      <c r="B14" s="163">
        <f t="shared" si="0"/>
        <v>45752</v>
      </c>
      <c r="C14" s="140" t="str">
        <f>IFERROR(VLOOKUP(TEXT(WEEKDAY(B14),"dddd"),Afspraken!$A$4:$G$8,7,FALSE),"")</f>
        <v/>
      </c>
      <c r="D14" s="146"/>
      <c r="E14" s="141"/>
      <c r="F14" s="13"/>
      <c r="G14" s="13"/>
      <c r="H14" s="43"/>
      <c r="I14" s="12"/>
      <c r="J14" s="12"/>
    </row>
    <row r="15" spans="2:10" ht="12.75" customHeight="1" x14ac:dyDescent="0.2">
      <c r="B15" s="163">
        <f t="shared" si="0"/>
        <v>45753</v>
      </c>
      <c r="C15" s="140" t="str">
        <f>IFERROR(VLOOKUP(TEXT(WEEKDAY(B15),"dddd"),Afspraken!$A$4:$G$8,7,FALSE),"")</f>
        <v/>
      </c>
      <c r="D15" s="146"/>
      <c r="E15" s="142"/>
      <c r="F15" s="13"/>
      <c r="G15" s="13"/>
      <c r="H15" s="44"/>
      <c r="I15" s="12"/>
      <c r="J15" s="12"/>
    </row>
    <row r="16" spans="2:10" ht="12.75" customHeight="1" x14ac:dyDescent="0.2">
      <c r="B16" s="163">
        <f t="shared" si="0"/>
        <v>45754</v>
      </c>
      <c r="C16" s="140">
        <f>IFERROR(VLOOKUP(TEXT(WEEKDAY(B16),"dddd"),Afspraken!$A$4:$G$8,7,FALSE),"")</f>
        <v>8.5</v>
      </c>
      <c r="D16" s="146"/>
      <c r="E16" s="143">
        <v>8.5</v>
      </c>
      <c r="F16" s="15"/>
      <c r="G16" s="15"/>
      <c r="H16" s="45"/>
      <c r="I16" s="12"/>
    </row>
    <row r="17" spans="2:9" ht="12.75" customHeight="1" x14ac:dyDescent="0.2">
      <c r="B17" s="163">
        <f t="shared" si="0"/>
        <v>45755</v>
      </c>
      <c r="C17" s="140">
        <f>IFERROR(VLOOKUP(TEXT(WEEKDAY(B17),"dddd"),Afspraken!$A$4:$G$8,7,FALSE),"")</f>
        <v>8.5</v>
      </c>
      <c r="D17" s="146"/>
      <c r="E17" s="141">
        <v>8.5</v>
      </c>
      <c r="F17" s="10"/>
      <c r="G17" s="10"/>
      <c r="H17" s="43"/>
      <c r="I17" s="12"/>
    </row>
    <row r="18" spans="2:9" ht="12.75" customHeight="1" x14ac:dyDescent="0.2">
      <c r="B18" s="163">
        <f t="shared" si="0"/>
        <v>45756</v>
      </c>
      <c r="C18" s="140">
        <f>IFERROR(VLOOKUP(TEXT(WEEKDAY(B18),"dddd"),Afspraken!$A$4:$G$8,7,FALSE),"")</f>
        <v>8.5</v>
      </c>
      <c r="D18" s="146"/>
      <c r="E18" s="141">
        <v>8.5</v>
      </c>
      <c r="F18" s="13"/>
      <c r="G18" s="13"/>
      <c r="H18" s="43"/>
      <c r="I18" s="12"/>
    </row>
    <row r="19" spans="2:9" ht="12.75" customHeight="1" x14ac:dyDescent="0.2">
      <c r="B19" s="163">
        <f t="shared" si="0"/>
        <v>45757</v>
      </c>
      <c r="C19" s="140">
        <f>IFERROR(VLOOKUP(TEXT(WEEKDAY(B19),"dddd"),Afspraken!$A$4:$G$8,7,FALSE),"")</f>
        <v>8.5</v>
      </c>
      <c r="D19" s="146"/>
      <c r="E19" s="141">
        <v>8.5</v>
      </c>
      <c r="F19" s="13"/>
      <c r="G19" s="13"/>
      <c r="H19" s="43"/>
      <c r="I19" s="12"/>
    </row>
    <row r="20" spans="2:9" ht="12.75" customHeight="1" x14ac:dyDescent="0.2">
      <c r="B20" s="163">
        <f t="shared" si="0"/>
        <v>45758</v>
      </c>
      <c r="C20" s="140">
        <f>IFERROR(VLOOKUP(TEXT(WEEKDAY(B20),"dddd"),Afspraken!$A$4:$G$8,7,FALSE),"")</f>
        <v>5.9999999999999982</v>
      </c>
      <c r="D20" s="146"/>
      <c r="E20" s="141">
        <v>6</v>
      </c>
      <c r="F20" s="13"/>
      <c r="G20" s="13"/>
      <c r="H20" s="43"/>
      <c r="I20" s="12"/>
    </row>
    <row r="21" spans="2:9" ht="12.75" customHeight="1" x14ac:dyDescent="0.2">
      <c r="B21" s="163">
        <f t="shared" si="0"/>
        <v>45759</v>
      </c>
      <c r="C21" s="140" t="str">
        <f>IFERROR(VLOOKUP(TEXT(WEEKDAY(B21),"dddd"),Afspraken!$A$4:$G$8,7,FALSE),"")</f>
        <v/>
      </c>
      <c r="D21" s="146"/>
      <c r="E21" s="141"/>
      <c r="F21" s="13"/>
      <c r="G21" s="13"/>
      <c r="H21" s="44"/>
      <c r="I21" s="12"/>
    </row>
    <row r="22" spans="2:9" ht="12.75" customHeight="1" x14ac:dyDescent="0.2">
      <c r="B22" s="163">
        <f t="shared" si="0"/>
        <v>45760</v>
      </c>
      <c r="C22" s="140" t="str">
        <f>IFERROR(VLOOKUP(TEXT(WEEKDAY(B22),"dddd"),Afspraken!$A$4:$G$8,7,FALSE),"")</f>
        <v/>
      </c>
      <c r="D22" s="146"/>
      <c r="E22" s="143"/>
      <c r="F22" s="15"/>
      <c r="G22" s="15"/>
      <c r="H22" s="45"/>
      <c r="I22" s="12"/>
    </row>
    <row r="23" spans="2:9" ht="12.75" customHeight="1" x14ac:dyDescent="0.2">
      <c r="B23" s="163">
        <f t="shared" si="0"/>
        <v>45761</v>
      </c>
      <c r="C23" s="140">
        <f>IFERROR(VLOOKUP(TEXT(WEEKDAY(B23),"dddd"),Afspraken!$A$4:$G$8,7,FALSE),"")</f>
        <v>8.5</v>
      </c>
      <c r="D23" s="146"/>
      <c r="E23" s="143">
        <v>9.5</v>
      </c>
      <c r="F23" s="15"/>
      <c r="G23" s="15"/>
      <c r="H23" s="45"/>
      <c r="I23" s="12"/>
    </row>
    <row r="24" spans="2:9" ht="12.75" customHeight="1" x14ac:dyDescent="0.2">
      <c r="B24" s="163">
        <f t="shared" si="0"/>
        <v>45762</v>
      </c>
      <c r="C24" s="140">
        <f>IFERROR(VLOOKUP(TEXT(WEEKDAY(B24),"dddd"),Afspraken!$A$4:$G$8,7,FALSE),"")</f>
        <v>8.5</v>
      </c>
      <c r="D24" s="146"/>
      <c r="E24" s="141">
        <v>8.5</v>
      </c>
      <c r="F24" s="10"/>
      <c r="G24" s="10"/>
      <c r="H24" s="43"/>
      <c r="I24" s="12"/>
    </row>
    <row r="25" spans="2:9" ht="12.75" customHeight="1" x14ac:dyDescent="0.2">
      <c r="B25" s="163">
        <f t="shared" si="0"/>
        <v>45763</v>
      </c>
      <c r="C25" s="140">
        <f>IFERROR(VLOOKUP(TEXT(WEEKDAY(B25),"dddd"),Afspraken!$A$4:$G$8,7,FALSE),"")</f>
        <v>8.5</v>
      </c>
      <c r="D25" s="146"/>
      <c r="E25" s="141">
        <v>8.5</v>
      </c>
      <c r="F25" s="13"/>
      <c r="G25" s="13"/>
      <c r="H25" s="44"/>
      <c r="I25" s="12"/>
    </row>
    <row r="26" spans="2:9" ht="12.75" customHeight="1" x14ac:dyDescent="0.2">
      <c r="B26" s="163">
        <f t="shared" si="0"/>
        <v>45764</v>
      </c>
      <c r="C26" s="140">
        <f>IFERROR(VLOOKUP(TEXT(WEEKDAY(B26),"dddd"),Afspraken!$A$4:$G$8,7,FALSE),"")</f>
        <v>8.5</v>
      </c>
      <c r="D26" s="146"/>
      <c r="E26" s="141">
        <v>7.25</v>
      </c>
      <c r="F26" s="13"/>
      <c r="G26" s="13"/>
      <c r="H26" s="44"/>
      <c r="I26" s="12"/>
    </row>
    <row r="27" spans="2:9" ht="12.75" customHeight="1" x14ac:dyDescent="0.2">
      <c r="B27" s="163">
        <f t="shared" si="0"/>
        <v>45765</v>
      </c>
      <c r="C27" s="140">
        <f>IFERROR(VLOOKUP(TEXT(WEEKDAY(B27),"dddd"),Afspraken!$A$4:$G$8,7,FALSE),"")</f>
        <v>5.9999999999999982</v>
      </c>
      <c r="D27" s="146"/>
      <c r="E27" s="141">
        <v>6</v>
      </c>
      <c r="F27" s="13"/>
      <c r="G27" s="13"/>
      <c r="H27" s="44"/>
      <c r="I27" s="12"/>
    </row>
    <row r="28" spans="2:9" ht="12.75" customHeight="1" x14ac:dyDescent="0.2">
      <c r="B28" s="163">
        <f t="shared" si="0"/>
        <v>45766</v>
      </c>
      <c r="C28" s="140" t="str">
        <f>IFERROR(VLOOKUP(TEXT(WEEKDAY(B28),"dddd"),Afspraken!$A$4:$G$8,7,FALSE),"")</f>
        <v/>
      </c>
      <c r="D28" s="146"/>
      <c r="E28" s="141"/>
      <c r="F28" s="13"/>
      <c r="G28" s="13"/>
      <c r="H28" s="44"/>
      <c r="I28" s="12"/>
    </row>
    <row r="29" spans="2:9" ht="12.75" customHeight="1" x14ac:dyDescent="0.2">
      <c r="B29" s="163">
        <f t="shared" si="0"/>
        <v>45767</v>
      </c>
      <c r="C29" s="140" t="str">
        <f>IFERROR(VLOOKUP(TEXT(WEEKDAY(B29),"dddd"),Afspraken!$A$4:$G$8,7,FALSE),"")</f>
        <v/>
      </c>
      <c r="D29" s="146"/>
      <c r="E29" s="143"/>
      <c r="F29" s="15"/>
      <c r="G29" s="15"/>
      <c r="H29" s="45"/>
      <c r="I29" s="12"/>
    </row>
    <row r="30" spans="2:9" ht="12.75" customHeight="1" x14ac:dyDescent="0.2">
      <c r="B30" s="163">
        <f t="shared" si="0"/>
        <v>45768</v>
      </c>
      <c r="C30" s="140">
        <f>IFERROR(VLOOKUP(TEXT(WEEKDAY(B30),"dddd"),Afspraken!$A$4:$G$8,7,FALSE),"")</f>
        <v>8.5</v>
      </c>
      <c r="D30" s="146"/>
      <c r="E30" s="180">
        <v>8.5</v>
      </c>
      <c r="F30" s="15"/>
      <c r="G30" s="15"/>
      <c r="H30" s="45"/>
      <c r="I30" s="12"/>
    </row>
    <row r="31" spans="2:9" ht="12.75" customHeight="1" x14ac:dyDescent="0.2">
      <c r="B31" s="163">
        <f t="shared" si="0"/>
        <v>45769</v>
      </c>
      <c r="C31" s="140">
        <f>IFERROR(VLOOKUP(TEXT(WEEKDAY(B31),"dddd"),Afspraken!$A$4:$G$8,7,FALSE),"")</f>
        <v>8.5</v>
      </c>
      <c r="D31" s="146"/>
      <c r="E31" s="141"/>
      <c r="F31" s="10"/>
      <c r="G31" s="10">
        <v>8.5</v>
      </c>
      <c r="H31" s="43"/>
      <c r="I31" s="12"/>
    </row>
    <row r="32" spans="2:9" ht="12.75" customHeight="1" x14ac:dyDescent="0.2">
      <c r="B32" s="163">
        <f t="shared" si="0"/>
        <v>45770</v>
      </c>
      <c r="C32" s="140">
        <f>IFERROR(VLOOKUP(TEXT(WEEKDAY(B32),"dddd"),Afspraken!$A$4:$G$8,7,FALSE),"")</f>
        <v>8.5</v>
      </c>
      <c r="D32" s="146"/>
      <c r="E32" s="141">
        <v>8.5</v>
      </c>
      <c r="F32" s="13"/>
      <c r="G32" s="13"/>
      <c r="H32" s="44"/>
      <c r="I32" s="12"/>
    </row>
    <row r="33" spans="2:10" ht="12.75" customHeight="1" x14ac:dyDescent="0.2">
      <c r="B33" s="163">
        <f t="shared" si="0"/>
        <v>45771</v>
      </c>
      <c r="C33" s="140">
        <f>IFERROR(VLOOKUP(TEXT(WEEKDAY(B33),"dddd"),Afspraken!$A$4:$G$8,7,FALSE),"")</f>
        <v>8.5</v>
      </c>
      <c r="D33" s="146"/>
      <c r="E33" s="141">
        <v>8.5</v>
      </c>
      <c r="F33" s="13"/>
      <c r="G33" s="13"/>
      <c r="H33" s="44"/>
      <c r="I33" s="12"/>
    </row>
    <row r="34" spans="2:10" ht="12.75" customHeight="1" x14ac:dyDescent="0.2">
      <c r="B34" s="163">
        <f t="shared" si="0"/>
        <v>45772</v>
      </c>
      <c r="C34" s="140">
        <f>IFERROR(VLOOKUP(TEXT(WEEKDAY(B34),"dddd"),Afspraken!$A$4:$G$8,7,FALSE),"")</f>
        <v>5.9999999999999982</v>
      </c>
      <c r="D34" s="146"/>
      <c r="E34" s="141"/>
      <c r="F34" s="13"/>
      <c r="G34" s="13">
        <v>6</v>
      </c>
      <c r="H34" s="44"/>
      <c r="I34" s="12"/>
    </row>
    <row r="35" spans="2:10" ht="12.75" customHeight="1" x14ac:dyDescent="0.2">
      <c r="B35" s="163">
        <f t="shared" si="0"/>
        <v>45773</v>
      </c>
      <c r="C35" s="140" t="str">
        <f>IFERROR(VLOOKUP(TEXT(WEEKDAY(B35),"dddd"),Afspraken!$A$4:$G$8,7,FALSE),"")</f>
        <v/>
      </c>
      <c r="D35" s="146"/>
      <c r="E35" s="141"/>
      <c r="F35" s="13"/>
      <c r="G35" s="13"/>
      <c r="H35" s="44"/>
      <c r="I35" s="12"/>
    </row>
    <row r="36" spans="2:10" ht="12.75" customHeight="1" x14ac:dyDescent="0.2">
      <c r="B36" s="163">
        <f t="shared" si="0"/>
        <v>45774</v>
      </c>
      <c r="C36" s="140" t="str">
        <f>IFERROR(VLOOKUP(TEXT(WEEKDAY(B36),"dddd"),Afspraken!$A$4:$G$8,7,FALSE),"")</f>
        <v/>
      </c>
      <c r="D36" s="146"/>
      <c r="E36" s="143"/>
      <c r="F36" s="15"/>
      <c r="G36" s="15"/>
      <c r="H36" s="45"/>
      <c r="I36" s="12"/>
    </row>
    <row r="37" spans="2:10" ht="12.75" customHeight="1" x14ac:dyDescent="0.2">
      <c r="B37" s="163">
        <f t="shared" si="0"/>
        <v>45775</v>
      </c>
      <c r="C37" s="140">
        <f>IFERROR(VLOOKUP(TEXT(WEEKDAY(B37),"dddd"),Afspraken!$A$4:$G$8,7,FALSE),"")</f>
        <v>8.5</v>
      </c>
      <c r="D37" s="146"/>
      <c r="E37" s="143">
        <v>9</v>
      </c>
      <c r="F37" s="15"/>
      <c r="G37" s="15"/>
      <c r="H37" s="45"/>
      <c r="I37" s="12"/>
    </row>
    <row r="38" spans="2:10" ht="12.75" customHeight="1" x14ac:dyDescent="0.2">
      <c r="B38" s="163">
        <f t="shared" si="0"/>
        <v>45776</v>
      </c>
      <c r="C38" s="140">
        <f>IFERROR(VLOOKUP(TEXT(WEEKDAY(B38),"dddd"),Afspraken!$A$4:$G$8,7,FALSE),"")</f>
        <v>8.5</v>
      </c>
      <c r="D38" s="146"/>
      <c r="E38" s="144">
        <v>8.5</v>
      </c>
      <c r="F38" s="138"/>
      <c r="G38" s="138"/>
      <c r="H38" s="139"/>
      <c r="I38" s="12"/>
    </row>
    <row r="39" spans="2:10" ht="12.75" customHeight="1" x14ac:dyDescent="0.2">
      <c r="B39" s="163">
        <f>IF(MONTH(B37+2)&lt;&gt;$E$4,"",B37+2)</f>
        <v>45777</v>
      </c>
      <c r="C39" s="140">
        <f>IFERROR(VLOOKUP(TEXT(WEEKDAY(B39),"dddd"),Afspraken!$A$4:$G$8,7,FALSE),"")</f>
        <v>8.5</v>
      </c>
      <c r="D39" s="146"/>
      <c r="E39" s="141">
        <v>8.5</v>
      </c>
      <c r="F39" s="13"/>
      <c r="G39" s="13"/>
      <c r="H39" s="44"/>
      <c r="I39" s="12"/>
    </row>
    <row r="40" spans="2:10" ht="12.75" customHeight="1" thickBot="1" x14ac:dyDescent="0.25">
      <c r="B40" s="164" t="str">
        <f>IF(MONTH(B37+3)&lt;&gt;$E$4,"",B37+3)</f>
        <v/>
      </c>
      <c r="C40" s="165" t="str">
        <f>IFERROR(VLOOKUP(TEXT(WEEKDAY(B40),"dddd"),Afspraken!$A$4:$G$8,7,FALSE),"")</f>
        <v/>
      </c>
      <c r="D40" s="166"/>
      <c r="E40" s="167"/>
      <c r="F40" s="168"/>
      <c r="G40" s="168"/>
      <c r="H40" s="169"/>
      <c r="I40" s="12"/>
    </row>
    <row r="41" spans="2:10" s="14" customFormat="1" ht="12.75" customHeight="1" thickBot="1" x14ac:dyDescent="0.25">
      <c r="B41" s="21"/>
      <c r="C41" s="20"/>
      <c r="D41" s="175"/>
      <c r="E41" s="22"/>
      <c r="F41" s="175"/>
      <c r="G41" s="175"/>
      <c r="H41" s="175"/>
      <c r="I41" s="174"/>
    </row>
    <row r="42" spans="2:10" ht="12.75" thickBot="1" x14ac:dyDescent="0.25">
      <c r="B42" s="177" t="s">
        <v>18</v>
      </c>
      <c r="C42" s="171">
        <f>SUM(C10:C40)</f>
        <v>177</v>
      </c>
      <c r="D42" s="172">
        <f t="shared" ref="D42:H42" si="1">SUM(D10:D41)</f>
        <v>0</v>
      </c>
      <c r="E42" s="171">
        <f t="shared" si="1"/>
        <v>162.75</v>
      </c>
      <c r="F42" s="171">
        <f t="shared" si="1"/>
        <v>0</v>
      </c>
      <c r="G42" s="171">
        <f t="shared" si="1"/>
        <v>14.5</v>
      </c>
      <c r="H42" s="173">
        <f t="shared" si="1"/>
        <v>0</v>
      </c>
      <c r="I42" s="3"/>
      <c r="J42" s="8"/>
    </row>
    <row r="43" spans="2:10" x14ac:dyDescent="0.2">
      <c r="B43" s="6"/>
      <c r="C43" s="7"/>
      <c r="D43" s="176"/>
      <c r="E43" s="23"/>
      <c r="F43" s="176"/>
      <c r="G43" s="176"/>
      <c r="H43" s="176"/>
      <c r="I43" s="11"/>
      <c r="J43" s="8"/>
    </row>
    <row r="44" spans="2:10" x14ac:dyDescent="0.2">
      <c r="B44" s="6"/>
      <c r="C44" s="7"/>
      <c r="D44" s="16"/>
      <c r="E44" s="23"/>
      <c r="F44" s="16"/>
      <c r="G44" s="16"/>
      <c r="H44" s="16"/>
      <c r="I44" s="17"/>
      <c r="J44" s="8"/>
    </row>
    <row r="45" spans="2:10" x14ac:dyDescent="0.2">
      <c r="B45" s="9"/>
      <c r="D45" s="16"/>
      <c r="E45" s="4"/>
      <c r="F45" s="16"/>
      <c r="G45" s="16"/>
      <c r="H45" s="16"/>
      <c r="I45" s="17"/>
    </row>
    <row r="46" spans="2:10" x14ac:dyDescent="0.2">
      <c r="B46" s="322"/>
      <c r="C46" s="323"/>
      <c r="D46" s="4"/>
      <c r="E46" s="4"/>
      <c r="F46" s="4"/>
      <c r="G46" s="322"/>
      <c r="H46" s="322"/>
    </row>
    <row r="47" spans="2:10" x14ac:dyDescent="0.2">
      <c r="B47" s="2"/>
      <c r="C47" s="2"/>
      <c r="D47" s="2"/>
      <c r="E47" s="4"/>
      <c r="F47" s="2"/>
      <c r="G47" s="2"/>
      <c r="H47" s="2"/>
    </row>
    <row r="48" spans="2:10" x14ac:dyDescent="0.2">
      <c r="B48" s="2"/>
      <c r="C48" s="2"/>
      <c r="D48" s="2"/>
      <c r="E48" s="4"/>
      <c r="F48" s="2"/>
      <c r="G48" s="2"/>
      <c r="H48" s="2"/>
    </row>
    <row r="49" spans="2:9" x14ac:dyDescent="0.2">
      <c r="B49" s="2"/>
      <c r="C49" s="2"/>
      <c r="D49" s="2"/>
      <c r="E49" s="24"/>
      <c r="F49" s="2"/>
      <c r="G49" s="2"/>
      <c r="H49" s="2"/>
    </row>
    <row r="50" spans="2:9" x14ac:dyDescent="0.2">
      <c r="B50" s="9"/>
      <c r="C50" s="18"/>
      <c r="D50" s="18"/>
      <c r="E50" s="24"/>
      <c r="F50" s="18"/>
      <c r="G50" s="18"/>
      <c r="H50" s="18"/>
    </row>
    <row r="51" spans="2:9" x14ac:dyDescent="0.2">
      <c r="B51" s="9"/>
      <c r="C51" s="18"/>
      <c r="D51" s="18"/>
      <c r="E51" s="24"/>
      <c r="F51" s="18"/>
      <c r="G51" s="18"/>
      <c r="H51" s="18"/>
      <c r="I51" s="3"/>
    </row>
    <row r="52" spans="2:9" x14ac:dyDescent="0.2">
      <c r="B52" s="9"/>
      <c r="C52" s="18"/>
      <c r="D52" s="18"/>
      <c r="E52" s="24"/>
      <c r="F52" s="18"/>
      <c r="G52" s="18"/>
      <c r="H52" s="18"/>
      <c r="I52" s="3"/>
    </row>
    <row r="53" spans="2:9" x14ac:dyDescent="0.2">
      <c r="B53" s="9"/>
      <c r="C53" s="18"/>
      <c r="D53" s="18"/>
      <c r="F53" s="18"/>
      <c r="G53" s="18"/>
      <c r="H53" s="18"/>
      <c r="I53" s="3"/>
    </row>
  </sheetData>
  <mergeCells count="2">
    <mergeCell ref="B46:C46"/>
    <mergeCell ref="G46:H46"/>
  </mergeCells>
  <conditionalFormatting sqref="B10:H40">
    <cfRule type="expression" dxfId="8" priority="1">
      <formula>WEEKDAY($B10,2)&gt;=6</formula>
    </cfRule>
  </conditionalFormatting>
  <pageMargins left="0.70866141732283472" right="0.70866141732283472" top="0.74803149606299213" bottom="0.74803149606299213" header="0.31496062992125984" footer="0.31496062992125984"/>
  <pageSetup paperSize="9" scale="6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J53"/>
  <sheetViews>
    <sheetView workbookViewId="0">
      <selection activeCell="C7" sqref="C7"/>
    </sheetView>
  </sheetViews>
  <sheetFormatPr defaultColWidth="13.42578125" defaultRowHeight="12" x14ac:dyDescent="0.2"/>
  <cols>
    <col min="1" max="1" width="8.7109375" style="3" customWidth="1"/>
    <col min="2" max="2" width="13.42578125" style="19"/>
    <col min="3" max="3" width="11.7109375" style="3" bestFit="1" customWidth="1"/>
    <col min="4" max="4" width="17.7109375" style="3" bestFit="1" customWidth="1"/>
    <col min="5" max="5" width="10.7109375" style="14" bestFit="1" customWidth="1"/>
    <col min="6" max="6" width="5.5703125" style="3" bestFit="1" customWidth="1"/>
    <col min="7" max="7" width="5.85546875" style="3" bestFit="1" customWidth="1"/>
    <col min="8" max="8" width="15.140625" style="3" bestFit="1" customWidth="1"/>
    <col min="9" max="9" width="15.140625" style="5" bestFit="1" customWidth="1"/>
    <col min="10" max="16384" width="13.42578125" style="3"/>
  </cols>
  <sheetData>
    <row r="1" spans="2:10" x14ac:dyDescent="0.2">
      <c r="D1" s="14"/>
      <c r="E1" s="3"/>
      <c r="H1" s="5"/>
      <c r="I1" s="3"/>
    </row>
    <row r="2" spans="2:10" x14ac:dyDescent="0.2">
      <c r="B2" s="1" t="s">
        <v>0</v>
      </c>
      <c r="C2" s="2"/>
      <c r="D2" s="4"/>
      <c r="E2" s="2"/>
      <c r="F2" s="2"/>
      <c r="G2" s="2"/>
      <c r="H2" s="2"/>
      <c r="I2" s="3"/>
    </row>
    <row r="3" spans="2:10" x14ac:dyDescent="0.2">
      <c r="B3" s="2"/>
      <c r="C3" s="2"/>
      <c r="D3" s="4"/>
      <c r="E3" s="2"/>
      <c r="F3" s="2"/>
      <c r="G3" s="2"/>
      <c r="H3" s="2"/>
      <c r="I3" s="3"/>
    </row>
    <row r="4" spans="2:10" x14ac:dyDescent="0.2">
      <c r="B4" s="4" t="s">
        <v>1</v>
      </c>
      <c r="C4" s="2" t="str">
        <f>IF(Verlofoverzicht!D2="","",Verlofoverzicht!D2)</f>
        <v>Maickel</v>
      </c>
      <c r="D4" s="4" t="s">
        <v>2</v>
      </c>
      <c r="E4" s="2">
        <v>5</v>
      </c>
      <c r="F4" s="4" t="s">
        <v>3</v>
      </c>
      <c r="G4" s="5">
        <f>Verlofoverzicht!$O$2</f>
        <v>2025</v>
      </c>
      <c r="H4" s="2"/>
      <c r="I4" s="3"/>
    </row>
    <row r="5" spans="2:10" ht="6" customHeight="1" x14ac:dyDescent="0.2">
      <c r="B5" s="6"/>
      <c r="C5" s="2"/>
      <c r="D5" s="4"/>
      <c r="E5" s="3"/>
      <c r="F5" s="2"/>
      <c r="G5" s="2"/>
      <c r="H5" s="2"/>
      <c r="I5" s="3"/>
    </row>
    <row r="6" spans="2:10" ht="12" customHeight="1" x14ac:dyDescent="0.2">
      <c r="B6" s="4" t="s">
        <v>5</v>
      </c>
      <c r="C6" s="5">
        <v>38</v>
      </c>
      <c r="D6" s="4" t="s">
        <v>6</v>
      </c>
      <c r="E6" s="2" t="s">
        <v>7</v>
      </c>
      <c r="F6" s="4"/>
      <c r="G6" s="8"/>
      <c r="H6" s="2"/>
      <c r="I6" s="3"/>
    </row>
    <row r="7" spans="2:10" ht="12" customHeight="1" thickBot="1" x14ac:dyDescent="0.25">
      <c r="B7" s="9"/>
      <c r="C7" s="2"/>
      <c r="D7" s="4"/>
      <c r="E7" s="2"/>
      <c r="F7" s="2"/>
      <c r="G7" s="2"/>
      <c r="H7" s="2"/>
      <c r="I7" s="3"/>
    </row>
    <row r="8" spans="2:10" s="7" customFormat="1" ht="12.75" thickBot="1" x14ac:dyDescent="0.25">
      <c r="B8" s="151" t="s">
        <v>8</v>
      </c>
      <c r="C8" s="152" t="s">
        <v>9</v>
      </c>
      <c r="D8" s="153" t="s">
        <v>20</v>
      </c>
      <c r="E8" s="152" t="s">
        <v>10</v>
      </c>
      <c r="F8" s="152" t="s">
        <v>11</v>
      </c>
      <c r="G8" s="152" t="s">
        <v>12</v>
      </c>
      <c r="H8" s="154" t="s">
        <v>59</v>
      </c>
    </row>
    <row r="9" spans="2:10" s="8" customFormat="1" ht="13.5" customHeight="1" thickBot="1" x14ac:dyDescent="0.25">
      <c r="B9" s="147"/>
      <c r="C9" s="148"/>
      <c r="D9" s="149" t="s">
        <v>73</v>
      </c>
      <c r="E9" s="148"/>
      <c r="F9" s="148"/>
      <c r="G9" s="148"/>
      <c r="H9" s="150"/>
    </row>
    <row r="10" spans="2:10" s="12" customFormat="1" ht="12.75" customHeight="1" x14ac:dyDescent="0.2">
      <c r="B10" s="157">
        <f>DATE(G4,E4,1)</f>
        <v>45778</v>
      </c>
      <c r="C10" s="158">
        <f>IFERROR(VLOOKUP(TEXT(WEEKDAY(B10),"dddd"),Afspraken!$A$4:$G$8,7,FALSE),"")</f>
        <v>8.5</v>
      </c>
      <c r="D10" s="159"/>
      <c r="E10" s="160">
        <v>8.5</v>
      </c>
      <c r="F10" s="161"/>
      <c r="G10" s="161"/>
      <c r="H10" s="162"/>
    </row>
    <row r="11" spans="2:10" ht="12.75" customHeight="1" x14ac:dyDescent="0.2">
      <c r="B11" s="163">
        <f>IF(MONTH(B10+1)&lt;&gt;$E$4,"",B10+1)</f>
        <v>45779</v>
      </c>
      <c r="C11" s="140">
        <f>IFERROR(VLOOKUP(TEXT(WEEKDAY(B11),"dddd"),Afspraken!$A$4:$G$8,7,FALSE),"")</f>
        <v>5.9999999999999982</v>
      </c>
      <c r="D11" s="146"/>
      <c r="E11" s="141">
        <v>6</v>
      </c>
      <c r="F11" s="13"/>
      <c r="G11" s="13"/>
      <c r="H11" s="43"/>
      <c r="I11" s="12"/>
      <c r="J11" s="12"/>
    </row>
    <row r="12" spans="2:10" ht="12.75" customHeight="1" x14ac:dyDescent="0.2">
      <c r="B12" s="163">
        <f t="shared" ref="B12:B38" si="0">IF(MONTH(B11+1)&lt;&gt;$E$4,"",B11+1)</f>
        <v>45780</v>
      </c>
      <c r="C12" s="140" t="str">
        <f>IFERROR(VLOOKUP(TEXT(WEEKDAY(B12),"dddd"),Afspraken!$A$4:$G$8,7,FALSE),"")</f>
        <v/>
      </c>
      <c r="D12" s="146"/>
      <c r="E12" s="141"/>
      <c r="F12" s="13"/>
      <c r="G12" s="13"/>
      <c r="H12" s="43"/>
      <c r="I12" s="12"/>
      <c r="J12" s="12"/>
    </row>
    <row r="13" spans="2:10" ht="12.75" customHeight="1" x14ac:dyDescent="0.2">
      <c r="B13" s="163">
        <f t="shared" si="0"/>
        <v>45781</v>
      </c>
      <c r="C13" s="140" t="str">
        <f>IFERROR(VLOOKUP(TEXT(WEEKDAY(B13),"dddd"),Afspraken!$A$4:$G$8,7,FALSE),"")</f>
        <v/>
      </c>
      <c r="D13" s="146"/>
      <c r="E13" s="141"/>
      <c r="F13" s="13"/>
      <c r="G13" s="13"/>
      <c r="H13" s="43"/>
      <c r="I13" s="12"/>
      <c r="J13" s="12"/>
    </row>
    <row r="14" spans="2:10" ht="12.75" customHeight="1" x14ac:dyDescent="0.2">
      <c r="B14" s="163">
        <f t="shared" si="0"/>
        <v>45782</v>
      </c>
      <c r="C14" s="140">
        <f>IFERROR(VLOOKUP(TEXT(WEEKDAY(B14),"dddd"),Afspraken!$A$4:$G$8,7,FALSE),"")</f>
        <v>8.5</v>
      </c>
      <c r="D14" s="146"/>
      <c r="E14" s="141">
        <v>8.5</v>
      </c>
      <c r="F14" s="13"/>
      <c r="G14" s="13"/>
      <c r="H14" s="43"/>
      <c r="I14" s="12"/>
      <c r="J14" s="12"/>
    </row>
    <row r="15" spans="2:10" ht="12.75" customHeight="1" x14ac:dyDescent="0.2">
      <c r="B15" s="163">
        <f t="shared" si="0"/>
        <v>45783</v>
      </c>
      <c r="C15" s="140">
        <f>IFERROR(VLOOKUP(TEXT(WEEKDAY(B15),"dddd"),Afspraken!$A$4:$G$8,7,FALSE),"")</f>
        <v>8.5</v>
      </c>
      <c r="D15" s="146"/>
      <c r="E15" s="142">
        <v>7.25</v>
      </c>
      <c r="F15" s="13"/>
      <c r="G15" s="13">
        <v>1.25</v>
      </c>
      <c r="H15" s="44"/>
      <c r="I15" s="12"/>
      <c r="J15" s="12"/>
    </row>
    <row r="16" spans="2:10" ht="12.75" customHeight="1" x14ac:dyDescent="0.2">
      <c r="B16" s="163">
        <f t="shared" si="0"/>
        <v>45784</v>
      </c>
      <c r="C16" s="140">
        <f>IFERROR(VLOOKUP(TEXT(WEEKDAY(B16),"dddd"),Afspraken!$A$4:$G$8,7,FALSE),"")</f>
        <v>8.5</v>
      </c>
      <c r="D16" s="146"/>
      <c r="E16" s="143">
        <v>4.75</v>
      </c>
      <c r="F16" s="15"/>
      <c r="G16" s="15">
        <v>3.75</v>
      </c>
      <c r="H16" s="45"/>
      <c r="I16" s="12"/>
    </row>
    <row r="17" spans="2:9" ht="12.75" customHeight="1" x14ac:dyDescent="0.2">
      <c r="B17" s="163">
        <f t="shared" si="0"/>
        <v>45785</v>
      </c>
      <c r="C17" s="140">
        <f>IFERROR(VLOOKUP(TEXT(WEEKDAY(B17),"dddd"),Afspraken!$A$4:$G$8,7,FALSE),"")</f>
        <v>8.5</v>
      </c>
      <c r="D17" s="146"/>
      <c r="E17" s="141">
        <v>8.5</v>
      </c>
      <c r="F17" s="10"/>
      <c r="G17" s="10"/>
      <c r="H17" s="43"/>
      <c r="I17" s="12"/>
    </row>
    <row r="18" spans="2:9" ht="12.75" customHeight="1" x14ac:dyDescent="0.2">
      <c r="B18" s="163">
        <f t="shared" si="0"/>
        <v>45786</v>
      </c>
      <c r="C18" s="140">
        <f>IFERROR(VLOOKUP(TEXT(WEEKDAY(B18),"dddd"),Afspraken!$A$4:$G$8,7,FALSE),"")</f>
        <v>5.9999999999999982</v>
      </c>
      <c r="D18" s="146"/>
      <c r="E18" s="141">
        <v>6</v>
      </c>
      <c r="F18" s="13"/>
      <c r="G18" s="13"/>
      <c r="H18" s="43"/>
      <c r="I18" s="12"/>
    </row>
    <row r="19" spans="2:9" ht="12.75" customHeight="1" x14ac:dyDescent="0.2">
      <c r="B19" s="163">
        <f t="shared" si="0"/>
        <v>45787</v>
      </c>
      <c r="C19" s="140" t="str">
        <f>IFERROR(VLOOKUP(TEXT(WEEKDAY(B19),"dddd"),Afspraken!$A$4:$G$8,7,FALSE),"")</f>
        <v/>
      </c>
      <c r="D19" s="146"/>
      <c r="E19" s="141"/>
      <c r="F19" s="13"/>
      <c r="G19" s="13"/>
      <c r="H19" s="43"/>
      <c r="I19" s="12"/>
    </row>
    <row r="20" spans="2:9" ht="12.75" customHeight="1" x14ac:dyDescent="0.2">
      <c r="B20" s="163">
        <f t="shared" si="0"/>
        <v>45788</v>
      </c>
      <c r="C20" s="140" t="str">
        <f>IFERROR(VLOOKUP(TEXT(WEEKDAY(B20),"dddd"),Afspraken!$A$4:$G$8,7,FALSE),"")</f>
        <v/>
      </c>
      <c r="D20" s="146"/>
      <c r="E20" s="141"/>
      <c r="F20" s="13"/>
      <c r="G20" s="13"/>
      <c r="H20" s="43"/>
      <c r="I20" s="12"/>
    </row>
    <row r="21" spans="2:9" ht="12.75" customHeight="1" x14ac:dyDescent="0.2">
      <c r="B21" s="163">
        <f t="shared" si="0"/>
        <v>45789</v>
      </c>
      <c r="C21" s="140">
        <f>IFERROR(VLOOKUP(TEXT(WEEKDAY(B21),"dddd"),Afspraken!$A$4:$G$8,7,FALSE),"")</f>
        <v>8.5</v>
      </c>
      <c r="D21" s="146"/>
      <c r="E21" s="141">
        <v>5</v>
      </c>
      <c r="F21" s="13"/>
      <c r="G21" s="13">
        <v>3.5</v>
      </c>
      <c r="H21" s="44"/>
      <c r="I21" s="12"/>
    </row>
    <row r="22" spans="2:9" ht="12.75" customHeight="1" x14ac:dyDescent="0.2">
      <c r="B22" s="163">
        <f t="shared" si="0"/>
        <v>45790</v>
      </c>
      <c r="C22" s="140">
        <f>IFERROR(VLOOKUP(TEXT(WEEKDAY(B22),"dddd"),Afspraken!$A$4:$G$8,7,FALSE),"")</f>
        <v>8.5</v>
      </c>
      <c r="D22" s="146"/>
      <c r="E22" s="143">
        <v>8.5</v>
      </c>
      <c r="F22" s="15"/>
      <c r="G22" s="15"/>
      <c r="H22" s="45"/>
      <c r="I22" s="12"/>
    </row>
    <row r="23" spans="2:9" ht="12.75" customHeight="1" x14ac:dyDescent="0.2">
      <c r="B23" s="163">
        <f t="shared" si="0"/>
        <v>45791</v>
      </c>
      <c r="C23" s="140">
        <f>IFERROR(VLOOKUP(TEXT(WEEKDAY(B23),"dddd"),Afspraken!$A$4:$G$8,7,FALSE),"")</f>
        <v>8.5</v>
      </c>
      <c r="D23" s="146"/>
      <c r="E23" s="143">
        <v>8.5</v>
      </c>
      <c r="F23" s="15"/>
      <c r="G23" s="15"/>
      <c r="H23" s="45"/>
      <c r="I23" s="12"/>
    </row>
    <row r="24" spans="2:9" ht="12.75" customHeight="1" x14ac:dyDescent="0.2">
      <c r="B24" s="163">
        <f t="shared" si="0"/>
        <v>45792</v>
      </c>
      <c r="C24" s="140">
        <f>IFERROR(VLOOKUP(TEXT(WEEKDAY(B24),"dddd"),Afspraken!$A$4:$G$8,7,FALSE),"")</f>
        <v>8.5</v>
      </c>
      <c r="D24" s="146"/>
      <c r="E24" s="141">
        <v>8.5</v>
      </c>
      <c r="F24" s="10"/>
      <c r="G24" s="10"/>
      <c r="H24" s="43"/>
      <c r="I24" s="12"/>
    </row>
    <row r="25" spans="2:9" ht="12.75" customHeight="1" x14ac:dyDescent="0.2">
      <c r="B25" s="163">
        <f t="shared" si="0"/>
        <v>45793</v>
      </c>
      <c r="C25" s="140">
        <f>IFERROR(VLOOKUP(TEXT(WEEKDAY(B25),"dddd"),Afspraken!$A$4:$G$8,7,FALSE),"")</f>
        <v>5.9999999999999982</v>
      </c>
      <c r="D25" s="146"/>
      <c r="E25" s="141">
        <v>5.25</v>
      </c>
      <c r="F25" s="13"/>
      <c r="G25" s="13">
        <v>0.75</v>
      </c>
      <c r="H25" s="44"/>
      <c r="I25" s="12"/>
    </row>
    <row r="26" spans="2:9" ht="12.75" customHeight="1" x14ac:dyDescent="0.2">
      <c r="B26" s="163">
        <f t="shared" si="0"/>
        <v>45794</v>
      </c>
      <c r="C26" s="140" t="str">
        <f>IFERROR(VLOOKUP(TEXT(WEEKDAY(B26),"dddd"),Afspraken!$A$4:$G$8,7,FALSE),"")</f>
        <v/>
      </c>
      <c r="D26" s="146"/>
      <c r="E26" s="141"/>
      <c r="F26" s="13"/>
      <c r="G26" s="13"/>
      <c r="H26" s="44"/>
      <c r="I26" s="12"/>
    </row>
    <row r="27" spans="2:9" ht="12.75" customHeight="1" x14ac:dyDescent="0.2">
      <c r="B27" s="163">
        <f t="shared" si="0"/>
        <v>45795</v>
      </c>
      <c r="C27" s="140" t="str">
        <f>IFERROR(VLOOKUP(TEXT(WEEKDAY(B27),"dddd"),Afspraken!$A$4:$G$8,7,FALSE),"")</f>
        <v/>
      </c>
      <c r="D27" s="146"/>
      <c r="E27" s="141"/>
      <c r="F27" s="13"/>
      <c r="G27" s="13"/>
      <c r="H27" s="44"/>
      <c r="I27" s="12"/>
    </row>
    <row r="28" spans="2:9" ht="12.75" customHeight="1" x14ac:dyDescent="0.2">
      <c r="B28" s="163">
        <f t="shared" si="0"/>
        <v>45796</v>
      </c>
      <c r="C28" s="140">
        <f>IFERROR(VLOOKUP(TEXT(WEEKDAY(B28),"dddd"),Afspraken!$A$4:$G$8,7,FALSE),"")</f>
        <v>8.5</v>
      </c>
      <c r="D28" s="146"/>
      <c r="E28" s="141">
        <v>8.5</v>
      </c>
      <c r="F28" s="13"/>
      <c r="G28" s="13"/>
      <c r="H28" s="44"/>
      <c r="I28" s="12"/>
    </row>
    <row r="29" spans="2:9" ht="12.75" customHeight="1" x14ac:dyDescent="0.2">
      <c r="B29" s="163">
        <f t="shared" si="0"/>
        <v>45797</v>
      </c>
      <c r="C29" s="140">
        <f>IFERROR(VLOOKUP(TEXT(WEEKDAY(B29),"dddd"),Afspraken!$A$4:$G$8,7,FALSE),"")</f>
        <v>8.5</v>
      </c>
      <c r="D29" s="146"/>
      <c r="E29" s="143">
        <v>8.5</v>
      </c>
      <c r="F29" s="15"/>
      <c r="G29" s="15"/>
      <c r="H29" s="45"/>
      <c r="I29" s="12"/>
    </row>
    <row r="30" spans="2:9" ht="12.75" customHeight="1" x14ac:dyDescent="0.2">
      <c r="B30" s="163">
        <f t="shared" si="0"/>
        <v>45798</v>
      </c>
      <c r="C30" s="140">
        <f>IFERROR(VLOOKUP(TEXT(WEEKDAY(B30),"dddd"),Afspraken!$A$4:$G$8,7,FALSE),"")</f>
        <v>8.5</v>
      </c>
      <c r="D30" s="146"/>
      <c r="E30" s="143">
        <v>8.5</v>
      </c>
      <c r="F30" s="15"/>
      <c r="G30" s="15"/>
      <c r="H30" s="45"/>
      <c r="I30" s="12"/>
    </row>
    <row r="31" spans="2:9" ht="12.75" customHeight="1" x14ac:dyDescent="0.2">
      <c r="B31" s="163">
        <f t="shared" si="0"/>
        <v>45799</v>
      </c>
      <c r="C31" s="140">
        <f>IFERROR(VLOOKUP(TEXT(WEEKDAY(B31),"dddd"),Afspraken!$A$4:$G$8,7,FALSE),"")</f>
        <v>8.5</v>
      </c>
      <c r="D31" s="146"/>
      <c r="E31" s="141">
        <v>8.5</v>
      </c>
      <c r="F31" s="10"/>
      <c r="G31" s="10"/>
      <c r="H31" s="43"/>
      <c r="I31" s="12"/>
    </row>
    <row r="32" spans="2:9" ht="12.75" customHeight="1" x14ac:dyDescent="0.2">
      <c r="B32" s="163">
        <f t="shared" si="0"/>
        <v>45800</v>
      </c>
      <c r="C32" s="140">
        <f>IFERROR(VLOOKUP(TEXT(WEEKDAY(B32),"dddd"),Afspraken!$A$4:$G$8,7,FALSE),"")</f>
        <v>5.9999999999999982</v>
      </c>
      <c r="D32" s="146"/>
      <c r="E32" s="141">
        <v>6</v>
      </c>
      <c r="F32" s="13"/>
      <c r="G32" s="13"/>
      <c r="H32" s="44"/>
      <c r="I32" s="12"/>
    </row>
    <row r="33" spans="2:10" ht="12.75" customHeight="1" x14ac:dyDescent="0.2">
      <c r="B33" s="163">
        <f t="shared" si="0"/>
        <v>45801</v>
      </c>
      <c r="C33" s="140" t="str">
        <f>IFERROR(VLOOKUP(TEXT(WEEKDAY(B33),"dddd"),Afspraken!$A$4:$G$8,7,FALSE),"")</f>
        <v/>
      </c>
      <c r="D33" s="146"/>
      <c r="E33" s="141"/>
      <c r="F33" s="13"/>
      <c r="G33" s="13"/>
      <c r="H33" s="44"/>
      <c r="I33" s="12"/>
    </row>
    <row r="34" spans="2:10" ht="12.75" customHeight="1" x14ac:dyDescent="0.2">
      <c r="B34" s="163">
        <f t="shared" si="0"/>
        <v>45802</v>
      </c>
      <c r="C34" s="140" t="str">
        <f>IFERROR(VLOOKUP(TEXT(WEEKDAY(B34),"dddd"),Afspraken!$A$4:$G$8,7,FALSE),"")</f>
        <v/>
      </c>
      <c r="D34" s="146"/>
      <c r="E34" s="141"/>
      <c r="F34" s="13"/>
      <c r="G34" s="13"/>
      <c r="H34" s="44"/>
      <c r="I34" s="12"/>
    </row>
    <row r="35" spans="2:10" ht="12.75" customHeight="1" x14ac:dyDescent="0.2">
      <c r="B35" s="163">
        <f t="shared" si="0"/>
        <v>45803</v>
      </c>
      <c r="C35" s="140">
        <f>IFERROR(VLOOKUP(TEXT(WEEKDAY(B35),"dddd"),Afspraken!$A$4:$G$8,7,FALSE),"")</f>
        <v>8.5</v>
      </c>
      <c r="D35" s="146"/>
      <c r="E35" s="141">
        <v>8.5</v>
      </c>
      <c r="F35" s="13"/>
      <c r="G35" s="13"/>
      <c r="H35" s="44"/>
      <c r="I35" s="12"/>
    </row>
    <row r="36" spans="2:10" ht="12.75" customHeight="1" x14ac:dyDescent="0.2">
      <c r="B36" s="163">
        <f t="shared" si="0"/>
        <v>45804</v>
      </c>
      <c r="C36" s="140">
        <f>IFERROR(VLOOKUP(TEXT(WEEKDAY(B36),"dddd"),Afspraken!$A$4:$G$8,7,FALSE),"")</f>
        <v>8.5</v>
      </c>
      <c r="D36" s="146"/>
      <c r="E36" s="143">
        <v>8.5</v>
      </c>
      <c r="F36" s="15"/>
      <c r="G36" s="15"/>
      <c r="H36" s="45"/>
      <c r="I36" s="12"/>
    </row>
    <row r="37" spans="2:10" ht="12.75" customHeight="1" x14ac:dyDescent="0.2">
      <c r="B37" s="163">
        <f t="shared" si="0"/>
        <v>45805</v>
      </c>
      <c r="C37" s="140">
        <f>IFERROR(VLOOKUP(TEXT(WEEKDAY(B37),"dddd"),Afspraken!$A$4:$G$8,7,FALSE),"")</f>
        <v>8.5</v>
      </c>
      <c r="D37" s="146"/>
      <c r="E37" s="143">
        <v>8.5</v>
      </c>
      <c r="F37" s="15"/>
      <c r="G37" s="15"/>
      <c r="H37" s="45"/>
      <c r="I37" s="12"/>
    </row>
    <row r="38" spans="2:10" ht="12.75" customHeight="1" x14ac:dyDescent="0.2">
      <c r="B38" s="163">
        <f t="shared" si="0"/>
        <v>45806</v>
      </c>
      <c r="C38" s="140">
        <f>IFERROR(VLOOKUP(TEXT(WEEKDAY(B38),"dddd"),Afspraken!$A$4:$G$8,7,FALSE),"")</f>
        <v>8.5</v>
      </c>
      <c r="D38" s="146"/>
      <c r="E38" s="179">
        <v>8.5</v>
      </c>
      <c r="F38" s="138"/>
      <c r="G38" s="138"/>
      <c r="H38" s="139"/>
      <c r="I38" s="12"/>
    </row>
    <row r="39" spans="2:10" ht="12.75" customHeight="1" x14ac:dyDescent="0.2">
      <c r="B39" s="163">
        <f>IF(MONTH(B37+2)&lt;&gt;$E$4,"",B37+2)</f>
        <v>45807</v>
      </c>
      <c r="C39" s="140">
        <f>IFERROR(VLOOKUP(TEXT(WEEKDAY(B39),"dddd"),Afspraken!$A$4:$G$8,7,FALSE),"")</f>
        <v>5.9999999999999982</v>
      </c>
      <c r="D39" s="146"/>
      <c r="E39" s="141"/>
      <c r="F39" s="13"/>
      <c r="G39" s="13">
        <v>6</v>
      </c>
      <c r="H39" s="44"/>
      <c r="I39" s="12"/>
    </row>
    <row r="40" spans="2:10" ht="12.75" customHeight="1" thickBot="1" x14ac:dyDescent="0.25">
      <c r="B40" s="164">
        <f>IF(MONTH(B37+3)&lt;&gt;$E$4,"",B37+3)</f>
        <v>45808</v>
      </c>
      <c r="C40" s="165" t="str">
        <f>IFERROR(VLOOKUP(TEXT(WEEKDAY(B40),"dddd"),Afspraken!$A$4:$G$8,7,FALSE),"")</f>
        <v/>
      </c>
      <c r="D40" s="166"/>
      <c r="E40" s="167"/>
      <c r="F40" s="168"/>
      <c r="G40" s="168"/>
      <c r="H40" s="169"/>
      <c r="I40" s="12"/>
    </row>
    <row r="41" spans="2:10" s="14" customFormat="1" ht="12.75" customHeight="1" thickBot="1" x14ac:dyDescent="0.25">
      <c r="B41" s="21"/>
      <c r="C41" s="20"/>
      <c r="D41" s="175"/>
      <c r="E41" s="22"/>
      <c r="F41" s="175"/>
      <c r="G41" s="175"/>
      <c r="H41" s="175"/>
      <c r="I41" s="174"/>
    </row>
    <row r="42" spans="2:10" ht="12.75" thickBot="1" x14ac:dyDescent="0.25">
      <c r="B42" s="177" t="s">
        <v>18</v>
      </c>
      <c r="C42" s="171">
        <f>SUM(C10:C40)</f>
        <v>174.5</v>
      </c>
      <c r="D42" s="172">
        <f t="shared" ref="D42:H42" si="1">SUM(D10:D40)</f>
        <v>0</v>
      </c>
      <c r="E42" s="171">
        <f t="shared" si="1"/>
        <v>159.25</v>
      </c>
      <c r="F42" s="171">
        <f t="shared" si="1"/>
        <v>0</v>
      </c>
      <c r="G42" s="171">
        <f t="shared" si="1"/>
        <v>15.25</v>
      </c>
      <c r="H42" s="173">
        <f t="shared" si="1"/>
        <v>0</v>
      </c>
      <c r="I42" s="3"/>
      <c r="J42" s="8"/>
    </row>
    <row r="43" spans="2:10" x14ac:dyDescent="0.2">
      <c r="B43" s="6"/>
      <c r="C43" s="7"/>
      <c r="D43" s="176"/>
      <c r="E43" s="23"/>
      <c r="F43" s="176"/>
      <c r="G43" s="176"/>
      <c r="H43" s="176"/>
      <c r="I43" s="11"/>
      <c r="J43" s="8"/>
    </row>
    <row r="44" spans="2:10" x14ac:dyDescent="0.2">
      <c r="B44" s="6"/>
      <c r="C44" s="7"/>
      <c r="D44" s="16"/>
      <c r="E44" s="23"/>
      <c r="F44" s="16"/>
      <c r="G44" s="16"/>
      <c r="H44" s="16"/>
      <c r="I44" s="17"/>
      <c r="J44" s="8"/>
    </row>
    <row r="45" spans="2:10" x14ac:dyDescent="0.2">
      <c r="B45" s="9"/>
      <c r="D45" s="16"/>
      <c r="E45" s="4"/>
      <c r="F45" s="16"/>
      <c r="G45" s="16"/>
      <c r="H45" s="16"/>
      <c r="I45" s="17"/>
    </row>
    <row r="46" spans="2:10" x14ac:dyDescent="0.2">
      <c r="B46" s="322"/>
      <c r="C46" s="323"/>
      <c r="D46" s="4"/>
      <c r="E46" s="4"/>
      <c r="F46" s="4"/>
      <c r="G46" s="322"/>
      <c r="H46" s="322"/>
    </row>
    <row r="47" spans="2:10" x14ac:dyDescent="0.2">
      <c r="B47" s="2"/>
      <c r="C47" s="2"/>
      <c r="D47" s="2"/>
      <c r="E47" s="4"/>
      <c r="F47" s="2"/>
      <c r="G47" s="2"/>
      <c r="H47" s="2"/>
    </row>
    <row r="48" spans="2:10" x14ac:dyDescent="0.2">
      <c r="B48" s="2"/>
      <c r="C48" s="2"/>
      <c r="D48" s="2"/>
      <c r="E48" s="4"/>
      <c r="F48" s="2"/>
      <c r="G48" s="2"/>
      <c r="H48" s="2"/>
    </row>
    <row r="49" spans="2:9" x14ac:dyDescent="0.2">
      <c r="B49" s="2"/>
      <c r="C49" s="2"/>
      <c r="D49" s="2"/>
      <c r="E49" s="24"/>
      <c r="F49" s="2"/>
      <c r="G49" s="2"/>
      <c r="H49" s="2"/>
    </row>
    <row r="50" spans="2:9" x14ac:dyDescent="0.2">
      <c r="B50" s="9"/>
      <c r="C50" s="18"/>
      <c r="D50" s="18"/>
      <c r="E50" s="24"/>
      <c r="F50" s="18"/>
      <c r="G50" s="18"/>
      <c r="H50" s="18"/>
    </row>
    <row r="51" spans="2:9" x14ac:dyDescent="0.2">
      <c r="B51" s="9"/>
      <c r="C51" s="18"/>
      <c r="D51" s="18"/>
      <c r="E51" s="24"/>
      <c r="F51" s="18"/>
      <c r="G51" s="18"/>
      <c r="H51" s="18"/>
      <c r="I51" s="3"/>
    </row>
    <row r="52" spans="2:9" x14ac:dyDescent="0.2">
      <c r="B52" s="9"/>
      <c r="C52" s="18"/>
      <c r="D52" s="18"/>
      <c r="E52" s="24"/>
      <c r="F52" s="18"/>
      <c r="G52" s="18"/>
      <c r="H52" s="18"/>
      <c r="I52" s="3"/>
    </row>
    <row r="53" spans="2:9" x14ac:dyDescent="0.2">
      <c r="B53" s="9"/>
      <c r="C53" s="18"/>
      <c r="D53" s="18"/>
      <c r="F53" s="18"/>
      <c r="G53" s="18"/>
      <c r="H53" s="18"/>
      <c r="I53" s="3"/>
    </row>
  </sheetData>
  <mergeCells count="2">
    <mergeCell ref="B46:C46"/>
    <mergeCell ref="G46:H46"/>
  </mergeCells>
  <conditionalFormatting sqref="B10:H40">
    <cfRule type="expression" dxfId="7" priority="1">
      <formula>WEEKDAY($B10,2)&gt;=6</formula>
    </cfRule>
  </conditionalFormatting>
  <pageMargins left="0.70866141732283472" right="0.70866141732283472" top="0.74803149606299213" bottom="0.74803149606299213" header="0.31496062992125984" footer="0.31496062992125984"/>
  <pageSetup paperSize="9" scale="61"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J53"/>
  <sheetViews>
    <sheetView workbookViewId="0">
      <selection activeCell="C7" sqref="C7"/>
    </sheetView>
  </sheetViews>
  <sheetFormatPr defaultColWidth="13.42578125" defaultRowHeight="12" x14ac:dyDescent="0.2"/>
  <cols>
    <col min="1" max="1" width="8.7109375" style="3" customWidth="1"/>
    <col min="2" max="2" width="13.42578125" style="19"/>
    <col min="3" max="3" width="11.7109375" style="3" bestFit="1" customWidth="1"/>
    <col min="4" max="4" width="17.7109375" style="3" bestFit="1" customWidth="1"/>
    <col min="5" max="5" width="10.7109375" style="14" bestFit="1" customWidth="1"/>
    <col min="6" max="6" width="5.5703125" style="3" bestFit="1" customWidth="1"/>
    <col min="7" max="7" width="5.85546875" style="3" bestFit="1" customWidth="1"/>
    <col min="8" max="8" width="15.140625" style="3" bestFit="1" customWidth="1"/>
    <col min="9" max="9" width="15.140625" style="5" bestFit="1" customWidth="1"/>
    <col min="10" max="16384" width="13.42578125" style="3"/>
  </cols>
  <sheetData>
    <row r="1" spans="2:10" x14ac:dyDescent="0.2">
      <c r="D1" s="14"/>
      <c r="E1" s="3"/>
      <c r="H1" s="5"/>
      <c r="I1" s="3"/>
    </row>
    <row r="2" spans="2:10" x14ac:dyDescent="0.2">
      <c r="B2" s="1" t="s">
        <v>0</v>
      </c>
      <c r="C2" s="2"/>
      <c r="D2" s="4"/>
      <c r="E2" s="2"/>
      <c r="F2" s="2"/>
      <c r="G2" s="2"/>
      <c r="H2" s="2"/>
      <c r="I2" s="3"/>
    </row>
    <row r="3" spans="2:10" x14ac:dyDescent="0.2">
      <c r="B3" s="2"/>
      <c r="C3" s="2"/>
      <c r="D3" s="4"/>
      <c r="E3" s="2"/>
      <c r="F3" s="2"/>
      <c r="G3" s="2"/>
      <c r="H3" s="2"/>
      <c r="I3" s="3"/>
    </row>
    <row r="4" spans="2:10" x14ac:dyDescent="0.2">
      <c r="B4" s="4" t="s">
        <v>1</v>
      </c>
      <c r="C4" s="2" t="str">
        <f>IF(Verlofoverzicht!D2="","",Verlofoverzicht!D2)</f>
        <v>Maickel</v>
      </c>
      <c r="D4" s="4" t="s">
        <v>2</v>
      </c>
      <c r="E4" s="2">
        <v>6</v>
      </c>
      <c r="F4" s="4" t="s">
        <v>3</v>
      </c>
      <c r="G4" s="5">
        <f>Verlofoverzicht!$O$2</f>
        <v>2025</v>
      </c>
      <c r="H4" s="2"/>
      <c r="I4" s="3"/>
    </row>
    <row r="5" spans="2:10" ht="6" customHeight="1" x14ac:dyDescent="0.2">
      <c r="B5" s="6"/>
      <c r="C5" s="2"/>
      <c r="D5" s="4"/>
      <c r="E5" s="3"/>
      <c r="F5" s="2"/>
      <c r="G5" s="2"/>
      <c r="H5" s="2"/>
      <c r="I5" s="3"/>
    </row>
    <row r="6" spans="2:10" ht="12" customHeight="1" x14ac:dyDescent="0.2">
      <c r="B6" s="4" t="s">
        <v>5</v>
      </c>
      <c r="C6" s="5">
        <v>38</v>
      </c>
      <c r="D6" s="4" t="s">
        <v>6</v>
      </c>
      <c r="E6" s="2" t="s">
        <v>7</v>
      </c>
      <c r="F6" s="4"/>
      <c r="G6" s="8"/>
      <c r="H6" s="2"/>
      <c r="I6" s="3"/>
    </row>
    <row r="7" spans="2:10" ht="12" customHeight="1" thickBot="1" x14ac:dyDescent="0.25">
      <c r="B7" s="9"/>
      <c r="C7" s="2"/>
      <c r="D7" s="4"/>
      <c r="E7" s="2"/>
      <c r="F7" s="2"/>
      <c r="G7" s="2"/>
      <c r="H7" s="2"/>
      <c r="I7" s="3"/>
    </row>
    <row r="8" spans="2:10" s="7" customFormat="1" ht="12.75" thickBot="1" x14ac:dyDescent="0.25">
      <c r="B8" s="151" t="s">
        <v>8</v>
      </c>
      <c r="C8" s="152" t="s">
        <v>9</v>
      </c>
      <c r="D8" s="153" t="s">
        <v>20</v>
      </c>
      <c r="E8" s="152" t="s">
        <v>10</v>
      </c>
      <c r="F8" s="152" t="s">
        <v>11</v>
      </c>
      <c r="G8" s="152" t="s">
        <v>12</v>
      </c>
      <c r="H8" s="154" t="s">
        <v>59</v>
      </c>
    </row>
    <row r="9" spans="2:10" s="8" customFormat="1" ht="13.5" customHeight="1" thickBot="1" x14ac:dyDescent="0.25">
      <c r="B9" s="147"/>
      <c r="C9" s="148"/>
      <c r="D9" s="149" t="s">
        <v>73</v>
      </c>
      <c r="E9" s="148"/>
      <c r="F9" s="148"/>
      <c r="G9" s="148"/>
      <c r="H9" s="150"/>
    </row>
    <row r="10" spans="2:10" s="12" customFormat="1" ht="12.75" customHeight="1" x14ac:dyDescent="0.2">
      <c r="B10" s="157">
        <f>DATE(G4,E4,1)</f>
        <v>45809</v>
      </c>
      <c r="C10" s="158" t="str">
        <f>IFERROR(VLOOKUP(TEXT(WEEKDAY(B10),"dddd"),Afspraken!$A$4:$G$8,7,FALSE),"")</f>
        <v/>
      </c>
      <c r="D10" s="159"/>
      <c r="E10" s="160"/>
      <c r="F10" s="161"/>
      <c r="G10" s="161"/>
      <c r="H10" s="162"/>
    </row>
    <row r="11" spans="2:10" ht="12.75" customHeight="1" x14ac:dyDescent="0.2">
      <c r="B11" s="163">
        <f>IF(MONTH(B10+1)&lt;&gt;$E$4,"",B10+1)</f>
        <v>45810</v>
      </c>
      <c r="C11" s="140">
        <f>IFERROR(VLOOKUP(TEXT(WEEKDAY(B11),"dddd"),Afspraken!$A$4:$G$8,7,FALSE),"")</f>
        <v>8.5</v>
      </c>
      <c r="D11" s="146"/>
      <c r="E11" s="141">
        <v>7.25</v>
      </c>
      <c r="F11" s="13"/>
      <c r="G11" s="13">
        <v>1.25</v>
      </c>
      <c r="H11" s="43"/>
      <c r="I11" s="12"/>
      <c r="J11" s="12"/>
    </row>
    <row r="12" spans="2:10" ht="12.75" customHeight="1" x14ac:dyDescent="0.2">
      <c r="B12" s="163">
        <f t="shared" ref="B12:B38" si="0">IF(MONTH(B11+1)&lt;&gt;$E$4,"",B11+1)</f>
        <v>45811</v>
      </c>
      <c r="C12" s="140">
        <f>IFERROR(VLOOKUP(TEXT(WEEKDAY(B12),"dddd"),Afspraken!$A$4:$G$8,7,FALSE),"")</f>
        <v>8.5</v>
      </c>
      <c r="D12" s="146"/>
      <c r="E12" s="141">
        <v>8.5</v>
      </c>
      <c r="F12" s="13"/>
      <c r="G12" s="13"/>
      <c r="H12" s="43"/>
      <c r="I12" s="12"/>
      <c r="J12" s="12"/>
    </row>
    <row r="13" spans="2:10" ht="12.75" customHeight="1" x14ac:dyDescent="0.2">
      <c r="B13" s="163">
        <f t="shared" si="0"/>
        <v>45812</v>
      </c>
      <c r="C13" s="140">
        <f>IFERROR(VLOOKUP(TEXT(WEEKDAY(B13),"dddd"),Afspraken!$A$4:$G$8,7,FALSE),"")</f>
        <v>8.5</v>
      </c>
      <c r="D13" s="146"/>
      <c r="E13" s="141">
        <v>7.25</v>
      </c>
      <c r="F13" s="13"/>
      <c r="G13" s="13">
        <v>0.5</v>
      </c>
      <c r="H13" s="43"/>
      <c r="I13" s="12"/>
      <c r="J13" s="12"/>
    </row>
    <row r="14" spans="2:10" ht="12.75" customHeight="1" x14ac:dyDescent="0.2">
      <c r="B14" s="163">
        <f t="shared" si="0"/>
        <v>45813</v>
      </c>
      <c r="C14" s="140">
        <f>IFERROR(VLOOKUP(TEXT(WEEKDAY(B14),"dddd"),Afspraken!$A$4:$G$8,7,FALSE),"")</f>
        <v>8.5</v>
      </c>
      <c r="D14" s="146"/>
      <c r="E14" s="141">
        <v>8.5</v>
      </c>
      <c r="F14" s="13"/>
      <c r="G14" s="13"/>
      <c r="H14" s="43"/>
      <c r="I14" s="12"/>
      <c r="J14" s="12"/>
    </row>
    <row r="15" spans="2:10" ht="12.75" customHeight="1" x14ac:dyDescent="0.2">
      <c r="B15" s="163">
        <f t="shared" si="0"/>
        <v>45814</v>
      </c>
      <c r="C15" s="140">
        <f>IFERROR(VLOOKUP(TEXT(WEEKDAY(B15),"dddd"),Afspraken!$A$4:$G$8,7,FALSE),"")</f>
        <v>5.9999999999999982</v>
      </c>
      <c r="D15" s="146"/>
      <c r="E15" s="142">
        <v>6.75</v>
      </c>
      <c r="F15" s="13"/>
      <c r="G15" s="13"/>
      <c r="H15" s="44"/>
      <c r="I15" s="12"/>
      <c r="J15" s="12"/>
    </row>
    <row r="16" spans="2:10" ht="12.75" customHeight="1" x14ac:dyDescent="0.2">
      <c r="B16" s="163">
        <f t="shared" si="0"/>
        <v>45815</v>
      </c>
      <c r="C16" s="140" t="str">
        <f>IFERROR(VLOOKUP(TEXT(WEEKDAY(B16),"dddd"),Afspraken!$A$4:$G$8,7,FALSE),"")</f>
        <v/>
      </c>
      <c r="D16" s="146"/>
      <c r="E16" s="143"/>
      <c r="F16" s="15"/>
      <c r="G16" s="15"/>
      <c r="H16" s="45"/>
      <c r="I16" s="12"/>
    </row>
    <row r="17" spans="2:9" ht="12.75" customHeight="1" x14ac:dyDescent="0.2">
      <c r="B17" s="163">
        <f t="shared" si="0"/>
        <v>45816</v>
      </c>
      <c r="C17" s="140" t="str">
        <f>IFERROR(VLOOKUP(TEXT(WEEKDAY(B17),"dddd"),Afspraken!$A$4:$G$8,7,FALSE),"")</f>
        <v/>
      </c>
      <c r="D17" s="146"/>
      <c r="E17" s="141"/>
      <c r="F17" s="10"/>
      <c r="G17" s="10"/>
      <c r="H17" s="43"/>
      <c r="I17" s="12"/>
    </row>
    <row r="18" spans="2:9" ht="12.75" customHeight="1" x14ac:dyDescent="0.2">
      <c r="B18" s="163">
        <f t="shared" si="0"/>
        <v>45817</v>
      </c>
      <c r="C18" s="140">
        <f>IFERROR(VLOOKUP(TEXT(WEEKDAY(B18),"dddd"),Afspraken!$A$4:$G$8,7,FALSE),"")</f>
        <v>8.5</v>
      </c>
      <c r="D18" s="146"/>
      <c r="E18" s="178">
        <v>8.5</v>
      </c>
      <c r="F18" s="13"/>
      <c r="G18" s="13"/>
      <c r="H18" s="43"/>
      <c r="I18" s="12"/>
    </row>
    <row r="19" spans="2:9" ht="12.75" customHeight="1" x14ac:dyDescent="0.2">
      <c r="B19" s="163">
        <f t="shared" si="0"/>
        <v>45818</v>
      </c>
      <c r="C19" s="140">
        <f>IFERROR(VLOOKUP(TEXT(WEEKDAY(B19),"dddd"),Afspraken!$A$4:$G$8,7,FALSE),"")</f>
        <v>8.5</v>
      </c>
      <c r="D19" s="146"/>
      <c r="E19" s="141">
        <v>8.25</v>
      </c>
      <c r="F19" s="13"/>
      <c r="G19" s="13"/>
      <c r="H19" s="43"/>
      <c r="I19" s="12"/>
    </row>
    <row r="20" spans="2:9" ht="12.75" customHeight="1" x14ac:dyDescent="0.2">
      <c r="B20" s="163">
        <f t="shared" si="0"/>
        <v>45819</v>
      </c>
      <c r="C20" s="140">
        <f>IFERROR(VLOOKUP(TEXT(WEEKDAY(B20),"dddd"),Afspraken!$A$4:$G$8,7,FALSE),"")</f>
        <v>8.5</v>
      </c>
      <c r="D20" s="146"/>
      <c r="E20" s="141">
        <v>8.5</v>
      </c>
      <c r="F20" s="13"/>
      <c r="G20" s="13"/>
      <c r="H20" s="43"/>
      <c r="I20" s="12"/>
    </row>
    <row r="21" spans="2:9" ht="12.75" customHeight="1" x14ac:dyDescent="0.2">
      <c r="B21" s="163">
        <f t="shared" si="0"/>
        <v>45820</v>
      </c>
      <c r="C21" s="140">
        <f>IFERROR(VLOOKUP(TEXT(WEEKDAY(B21),"dddd"),Afspraken!$A$4:$G$8,7,FALSE),"")</f>
        <v>8.5</v>
      </c>
      <c r="D21" s="146"/>
      <c r="E21" s="141">
        <v>8.5</v>
      </c>
      <c r="F21" s="13"/>
      <c r="G21" s="13"/>
      <c r="H21" s="44"/>
      <c r="I21" s="12"/>
    </row>
    <row r="22" spans="2:9" ht="12.75" customHeight="1" x14ac:dyDescent="0.2">
      <c r="B22" s="163">
        <f t="shared" si="0"/>
        <v>45821</v>
      </c>
      <c r="C22" s="140">
        <f>IFERROR(VLOOKUP(TEXT(WEEKDAY(B22),"dddd"),Afspraken!$A$4:$G$8,7,FALSE),"")</f>
        <v>5.9999999999999982</v>
      </c>
      <c r="D22" s="146"/>
      <c r="E22" s="143">
        <v>6.5</v>
      </c>
      <c r="F22" s="15"/>
      <c r="G22" s="15"/>
      <c r="H22" s="45"/>
      <c r="I22" s="12"/>
    </row>
    <row r="23" spans="2:9" ht="12.75" customHeight="1" x14ac:dyDescent="0.2">
      <c r="B23" s="163">
        <f t="shared" si="0"/>
        <v>45822</v>
      </c>
      <c r="C23" s="140" t="str">
        <f>IFERROR(VLOOKUP(TEXT(WEEKDAY(B23),"dddd"),Afspraken!$A$4:$G$8,7,FALSE),"")</f>
        <v/>
      </c>
      <c r="D23" s="146"/>
      <c r="E23" s="143"/>
      <c r="F23" s="15"/>
      <c r="G23" s="15"/>
      <c r="H23" s="45"/>
      <c r="I23" s="12"/>
    </row>
    <row r="24" spans="2:9" ht="12.75" customHeight="1" x14ac:dyDescent="0.2">
      <c r="B24" s="163">
        <f t="shared" si="0"/>
        <v>45823</v>
      </c>
      <c r="C24" s="140" t="str">
        <f>IFERROR(VLOOKUP(TEXT(WEEKDAY(B24),"dddd"),Afspraken!$A$4:$G$8,7,FALSE),"")</f>
        <v/>
      </c>
      <c r="D24" s="146"/>
      <c r="E24" s="141"/>
      <c r="F24" s="10"/>
      <c r="G24" s="10"/>
      <c r="H24" s="43"/>
      <c r="I24" s="12"/>
    </row>
    <row r="25" spans="2:9" ht="12.75" customHeight="1" x14ac:dyDescent="0.2">
      <c r="B25" s="163">
        <f t="shared" si="0"/>
        <v>45824</v>
      </c>
      <c r="C25" s="140">
        <f>IFERROR(VLOOKUP(TEXT(WEEKDAY(B25),"dddd"),Afspraken!$A$4:$G$8,7,FALSE),"")</f>
        <v>8.5</v>
      </c>
      <c r="D25" s="146"/>
      <c r="E25" s="141">
        <v>8.5</v>
      </c>
      <c r="F25" s="13"/>
      <c r="G25" s="13"/>
      <c r="H25" s="44"/>
      <c r="I25" s="12"/>
    </row>
    <row r="26" spans="2:9" ht="12.75" customHeight="1" x14ac:dyDescent="0.2">
      <c r="B26" s="163">
        <f t="shared" si="0"/>
        <v>45825</v>
      </c>
      <c r="C26" s="140">
        <f>IFERROR(VLOOKUP(TEXT(WEEKDAY(B26),"dddd"),Afspraken!$A$4:$G$8,7,FALSE),"")</f>
        <v>8.5</v>
      </c>
      <c r="D26" s="146"/>
      <c r="E26" s="141">
        <v>8.5</v>
      </c>
      <c r="F26" s="13"/>
      <c r="G26" s="13"/>
      <c r="H26" s="44"/>
      <c r="I26" s="12"/>
    </row>
    <row r="27" spans="2:9" ht="12.75" customHeight="1" x14ac:dyDescent="0.2">
      <c r="B27" s="163">
        <f t="shared" si="0"/>
        <v>45826</v>
      </c>
      <c r="C27" s="140">
        <f>IFERROR(VLOOKUP(TEXT(WEEKDAY(B27),"dddd"),Afspraken!$A$4:$G$8,7,FALSE),"")</f>
        <v>8.5</v>
      </c>
      <c r="D27" s="146"/>
      <c r="E27" s="141"/>
      <c r="F27" s="13"/>
      <c r="G27" s="13">
        <v>8.5</v>
      </c>
      <c r="H27" s="44"/>
      <c r="I27" s="12"/>
    </row>
    <row r="28" spans="2:9" ht="12.75" customHeight="1" x14ac:dyDescent="0.2">
      <c r="B28" s="163">
        <f t="shared" si="0"/>
        <v>45827</v>
      </c>
      <c r="C28" s="140">
        <f>IFERROR(VLOOKUP(TEXT(WEEKDAY(B28),"dddd"),Afspraken!$A$4:$G$8,7,FALSE),"")</f>
        <v>8.5</v>
      </c>
      <c r="D28" s="146"/>
      <c r="E28" s="141"/>
      <c r="F28" s="13"/>
      <c r="G28" s="13">
        <v>8.5</v>
      </c>
      <c r="H28" s="44"/>
      <c r="I28" s="12"/>
    </row>
    <row r="29" spans="2:9" ht="12.75" customHeight="1" x14ac:dyDescent="0.2">
      <c r="B29" s="163">
        <f t="shared" si="0"/>
        <v>45828</v>
      </c>
      <c r="C29" s="140">
        <f>IFERROR(VLOOKUP(TEXT(WEEKDAY(B29),"dddd"),Afspraken!$A$4:$G$8,7,FALSE),"")</f>
        <v>5.9999999999999982</v>
      </c>
      <c r="D29" s="146"/>
      <c r="E29" s="143"/>
      <c r="F29" s="15"/>
      <c r="G29" s="15">
        <v>6</v>
      </c>
      <c r="H29" s="45"/>
      <c r="I29" s="12"/>
    </row>
    <row r="30" spans="2:9" ht="12.75" customHeight="1" x14ac:dyDescent="0.2">
      <c r="B30" s="163">
        <f t="shared" si="0"/>
        <v>45829</v>
      </c>
      <c r="C30" s="140" t="str">
        <f>IFERROR(VLOOKUP(TEXT(WEEKDAY(B30),"dddd"),Afspraken!$A$4:$G$8,7,FALSE),"")</f>
        <v/>
      </c>
      <c r="D30" s="146"/>
      <c r="E30" s="143"/>
      <c r="F30" s="15"/>
      <c r="G30" s="15"/>
      <c r="H30" s="45"/>
      <c r="I30" s="12"/>
    </row>
    <row r="31" spans="2:9" ht="12.75" customHeight="1" x14ac:dyDescent="0.2">
      <c r="B31" s="163">
        <f t="shared" si="0"/>
        <v>45830</v>
      </c>
      <c r="C31" s="140" t="str">
        <f>IFERROR(VLOOKUP(TEXT(WEEKDAY(B31),"dddd"),Afspraken!$A$4:$G$8,7,FALSE),"")</f>
        <v/>
      </c>
      <c r="D31" s="146"/>
      <c r="E31" s="141"/>
      <c r="F31" s="10"/>
      <c r="G31" s="10"/>
      <c r="H31" s="43"/>
      <c r="I31" s="12"/>
    </row>
    <row r="32" spans="2:9" ht="12.75" customHeight="1" x14ac:dyDescent="0.2">
      <c r="B32" s="163">
        <f t="shared" si="0"/>
        <v>45831</v>
      </c>
      <c r="C32" s="140">
        <f>IFERROR(VLOOKUP(TEXT(WEEKDAY(B32),"dddd"),Afspraken!$A$4:$G$8,7,FALSE),"")</f>
        <v>8.5</v>
      </c>
      <c r="D32" s="146"/>
      <c r="E32" s="141"/>
      <c r="F32" s="13"/>
      <c r="G32" s="13">
        <v>8.5</v>
      </c>
      <c r="H32" s="44"/>
      <c r="I32" s="12"/>
    </row>
    <row r="33" spans="2:10" ht="12.75" customHeight="1" x14ac:dyDescent="0.2">
      <c r="B33" s="163">
        <f t="shared" si="0"/>
        <v>45832</v>
      </c>
      <c r="C33" s="140">
        <f>IFERROR(VLOOKUP(TEXT(WEEKDAY(B33),"dddd"),Afspraken!$A$4:$G$8,7,FALSE),"")</f>
        <v>8.5</v>
      </c>
      <c r="D33" s="146"/>
      <c r="E33" s="141">
        <v>8.5</v>
      </c>
      <c r="F33" s="13"/>
      <c r="G33" s="13"/>
      <c r="H33" s="44"/>
      <c r="I33" s="12"/>
    </row>
    <row r="34" spans="2:10" ht="12.75" customHeight="1" x14ac:dyDescent="0.2">
      <c r="B34" s="163">
        <f t="shared" si="0"/>
        <v>45833</v>
      </c>
      <c r="C34" s="140">
        <f>IFERROR(VLOOKUP(TEXT(WEEKDAY(B34),"dddd"),Afspraken!$A$4:$G$8,7,FALSE),"")</f>
        <v>8.5</v>
      </c>
      <c r="D34" s="146"/>
      <c r="E34" s="141">
        <v>7.25</v>
      </c>
      <c r="F34" s="13"/>
      <c r="G34" s="13">
        <v>1.25</v>
      </c>
      <c r="H34" s="44"/>
      <c r="I34" s="12"/>
    </row>
    <row r="35" spans="2:10" ht="12.75" customHeight="1" x14ac:dyDescent="0.2">
      <c r="B35" s="163">
        <f t="shared" si="0"/>
        <v>45834</v>
      </c>
      <c r="C35" s="140">
        <f>IFERROR(VLOOKUP(TEXT(WEEKDAY(B35),"dddd"),Afspraken!$A$4:$G$8,7,FALSE),"")</f>
        <v>8.5</v>
      </c>
      <c r="D35" s="146"/>
      <c r="E35" s="141">
        <v>8.5</v>
      </c>
      <c r="F35" s="13"/>
      <c r="G35" s="13"/>
      <c r="H35" s="44"/>
      <c r="I35" s="12"/>
    </row>
    <row r="36" spans="2:10" ht="12.75" customHeight="1" x14ac:dyDescent="0.2">
      <c r="B36" s="163">
        <f t="shared" si="0"/>
        <v>45835</v>
      </c>
      <c r="C36" s="140">
        <f>IFERROR(VLOOKUP(TEXT(WEEKDAY(B36),"dddd"),Afspraken!$A$4:$G$8,7,FALSE),"")</f>
        <v>5.9999999999999982</v>
      </c>
      <c r="D36" s="146"/>
      <c r="E36" s="143">
        <v>6</v>
      </c>
      <c r="F36" s="15"/>
      <c r="G36" s="15"/>
      <c r="H36" s="45"/>
      <c r="I36" s="12"/>
    </row>
    <row r="37" spans="2:10" ht="12.75" customHeight="1" x14ac:dyDescent="0.2">
      <c r="B37" s="163">
        <f t="shared" si="0"/>
        <v>45836</v>
      </c>
      <c r="C37" s="140" t="str">
        <f>IFERROR(VLOOKUP(TEXT(WEEKDAY(B37),"dddd"),Afspraken!$A$4:$G$8,7,FALSE),"")</f>
        <v/>
      </c>
      <c r="D37" s="146"/>
      <c r="E37" s="143"/>
      <c r="F37" s="15"/>
      <c r="G37" s="15"/>
      <c r="H37" s="45"/>
      <c r="I37" s="12"/>
    </row>
    <row r="38" spans="2:10" ht="12.75" customHeight="1" x14ac:dyDescent="0.2">
      <c r="B38" s="163">
        <f t="shared" si="0"/>
        <v>45837</v>
      </c>
      <c r="C38" s="140" t="str">
        <f>IFERROR(VLOOKUP(TEXT(WEEKDAY(B38),"dddd"),Afspraken!$A$4:$G$8,7,FALSE),"")</f>
        <v/>
      </c>
      <c r="D38" s="146"/>
      <c r="E38" s="144"/>
      <c r="F38" s="138"/>
      <c r="G38" s="138"/>
      <c r="H38" s="139"/>
      <c r="I38" s="12"/>
    </row>
    <row r="39" spans="2:10" ht="12.75" customHeight="1" x14ac:dyDescent="0.2">
      <c r="B39" s="163">
        <f>IF(MONTH(B37+2)&lt;&gt;$E$4,"",B37+2)</f>
        <v>45838</v>
      </c>
      <c r="C39" s="140">
        <f>IFERROR(VLOOKUP(TEXT(WEEKDAY(B39),"dddd"),Afspraken!$A$4:$G$8,7,FALSE),"")</f>
        <v>8.5</v>
      </c>
      <c r="D39" s="146"/>
      <c r="E39" s="141">
        <v>8.5</v>
      </c>
      <c r="F39" s="13"/>
      <c r="G39" s="13"/>
      <c r="H39" s="44"/>
      <c r="I39" s="12"/>
    </row>
    <row r="40" spans="2:10" ht="12.75" customHeight="1" thickBot="1" x14ac:dyDescent="0.25">
      <c r="B40" s="164" t="str">
        <f>IF(MONTH(B37+3)&lt;&gt;$E$4,"",B37+3)</f>
        <v/>
      </c>
      <c r="C40" s="165" t="str">
        <f>IFERROR(VLOOKUP(TEXT(WEEKDAY(B40),"dddd"),Afspraken!$A$4:$G$8,7,FALSE),"")</f>
        <v/>
      </c>
      <c r="D40" s="166"/>
      <c r="E40" s="167"/>
      <c r="F40" s="168"/>
      <c r="G40" s="168"/>
      <c r="H40" s="169"/>
      <c r="I40" s="12"/>
    </row>
    <row r="41" spans="2:10" s="14" customFormat="1" ht="12.75" customHeight="1" thickBot="1" x14ac:dyDescent="0.25">
      <c r="B41" s="21"/>
      <c r="C41" s="20"/>
      <c r="D41" s="175"/>
      <c r="E41" s="22"/>
      <c r="F41" s="175"/>
      <c r="G41" s="175"/>
      <c r="H41" s="175"/>
      <c r="I41" s="174"/>
    </row>
    <row r="42" spans="2:10" ht="12.75" thickBot="1" x14ac:dyDescent="0.25">
      <c r="B42" s="177" t="s">
        <v>18</v>
      </c>
      <c r="C42" s="171">
        <f>SUM(C10:C40)</f>
        <v>168.5</v>
      </c>
      <c r="D42" s="172">
        <f t="shared" ref="D42:H42" si="1">SUM(D10:D40)</f>
        <v>0</v>
      </c>
      <c r="E42" s="171">
        <f t="shared" si="1"/>
        <v>134.25</v>
      </c>
      <c r="F42" s="171">
        <f t="shared" si="1"/>
        <v>0</v>
      </c>
      <c r="G42" s="171">
        <f t="shared" si="1"/>
        <v>34.5</v>
      </c>
      <c r="H42" s="173">
        <f t="shared" si="1"/>
        <v>0</v>
      </c>
      <c r="I42" s="3"/>
      <c r="J42" s="8"/>
    </row>
    <row r="43" spans="2:10" x14ac:dyDescent="0.2">
      <c r="B43" s="6"/>
      <c r="C43" s="7"/>
      <c r="D43" s="176"/>
      <c r="E43" s="23"/>
      <c r="F43" s="176"/>
      <c r="G43" s="176"/>
      <c r="H43" s="176"/>
      <c r="I43" s="11"/>
      <c r="J43" s="8"/>
    </row>
    <row r="44" spans="2:10" x14ac:dyDescent="0.2">
      <c r="B44" s="6"/>
      <c r="C44" s="7"/>
      <c r="D44" s="16"/>
      <c r="E44" s="23"/>
      <c r="F44" s="16"/>
      <c r="G44" s="16"/>
      <c r="H44" s="16"/>
      <c r="I44" s="17"/>
      <c r="J44" s="8"/>
    </row>
    <row r="45" spans="2:10" x14ac:dyDescent="0.2">
      <c r="B45" s="9"/>
      <c r="D45" s="16"/>
      <c r="E45" s="4"/>
      <c r="F45" s="16"/>
      <c r="G45" s="16"/>
      <c r="H45" s="16"/>
      <c r="I45" s="17"/>
    </row>
    <row r="46" spans="2:10" x14ac:dyDescent="0.2">
      <c r="B46" s="322"/>
      <c r="C46" s="323"/>
      <c r="D46" s="4"/>
      <c r="E46" s="4"/>
      <c r="F46" s="4"/>
      <c r="G46" s="322"/>
      <c r="H46" s="322"/>
    </row>
    <row r="47" spans="2:10" x14ac:dyDescent="0.2">
      <c r="B47" s="2"/>
      <c r="C47" s="2"/>
      <c r="D47" s="2"/>
      <c r="E47" s="4"/>
      <c r="F47" s="2"/>
      <c r="G47" s="2"/>
      <c r="H47" s="2"/>
    </row>
    <row r="48" spans="2:10" x14ac:dyDescent="0.2">
      <c r="B48" s="2"/>
      <c r="C48" s="2"/>
      <c r="D48" s="2"/>
      <c r="E48" s="4"/>
      <c r="F48" s="2"/>
      <c r="G48" s="2"/>
      <c r="H48" s="2"/>
    </row>
    <row r="49" spans="2:9" x14ac:dyDescent="0.2">
      <c r="B49" s="2"/>
      <c r="C49" s="2"/>
      <c r="D49" s="2"/>
      <c r="E49" s="24"/>
      <c r="F49" s="2"/>
      <c r="G49" s="2"/>
      <c r="H49" s="2"/>
    </row>
    <row r="50" spans="2:9" x14ac:dyDescent="0.2">
      <c r="B50" s="9"/>
      <c r="C50" s="18"/>
      <c r="D50" s="18"/>
      <c r="E50" s="24"/>
      <c r="F50" s="18"/>
      <c r="G50" s="18"/>
      <c r="H50" s="18"/>
    </row>
    <row r="51" spans="2:9" x14ac:dyDescent="0.2">
      <c r="B51" s="9"/>
      <c r="C51" s="18"/>
      <c r="D51" s="18"/>
      <c r="E51" s="24"/>
      <c r="F51" s="18"/>
      <c r="G51" s="18"/>
      <c r="H51" s="18"/>
      <c r="I51" s="3"/>
    </row>
    <row r="52" spans="2:9" x14ac:dyDescent="0.2">
      <c r="B52" s="9"/>
      <c r="C52" s="18"/>
      <c r="D52" s="18"/>
      <c r="E52" s="24"/>
      <c r="F52" s="18"/>
      <c r="G52" s="18"/>
      <c r="H52" s="18"/>
      <c r="I52" s="3"/>
    </row>
    <row r="53" spans="2:9" x14ac:dyDescent="0.2">
      <c r="B53" s="9"/>
      <c r="C53" s="18"/>
      <c r="D53" s="18"/>
      <c r="F53" s="18"/>
      <c r="G53" s="18"/>
      <c r="H53" s="18"/>
      <c r="I53" s="3"/>
    </row>
  </sheetData>
  <mergeCells count="2">
    <mergeCell ref="B46:C46"/>
    <mergeCell ref="G46:H46"/>
  </mergeCells>
  <conditionalFormatting sqref="B10:H40">
    <cfRule type="expression" dxfId="6" priority="1">
      <formula>WEEKDAY($B10,2)&gt;=6</formula>
    </cfRule>
  </conditionalFormatting>
  <pageMargins left="0.7" right="0.7" top="0.75" bottom="0.75" header="0.3" footer="0.3"/>
  <pageSetup paperSize="9" scale="6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J53"/>
  <sheetViews>
    <sheetView workbookViewId="0">
      <selection activeCell="C7" sqref="C7"/>
    </sheetView>
  </sheetViews>
  <sheetFormatPr defaultColWidth="13.42578125" defaultRowHeight="12" x14ac:dyDescent="0.2"/>
  <cols>
    <col min="1" max="1" width="8.7109375" style="3" customWidth="1"/>
    <col min="2" max="2" width="13.42578125" style="19"/>
    <col min="3" max="3" width="11.7109375" style="3" bestFit="1" customWidth="1"/>
    <col min="4" max="4" width="17.7109375" style="3" bestFit="1" customWidth="1"/>
    <col min="5" max="5" width="10.7109375" style="14" bestFit="1" customWidth="1"/>
    <col min="6" max="6" width="5.5703125" style="3" bestFit="1" customWidth="1"/>
    <col min="7" max="7" width="5.85546875" style="3" bestFit="1" customWidth="1"/>
    <col min="8" max="8" width="15.140625" style="3" bestFit="1" customWidth="1"/>
    <col min="9" max="9" width="15.140625" style="5" bestFit="1" customWidth="1"/>
    <col min="10" max="16384" width="13.42578125" style="3"/>
  </cols>
  <sheetData>
    <row r="1" spans="2:10" x14ac:dyDescent="0.2">
      <c r="D1" s="14"/>
      <c r="E1" s="3"/>
      <c r="H1" s="5"/>
      <c r="I1" s="3"/>
    </row>
    <row r="2" spans="2:10" x14ac:dyDescent="0.2">
      <c r="B2" s="1" t="s">
        <v>0</v>
      </c>
      <c r="C2" s="2"/>
      <c r="D2" s="4"/>
      <c r="E2" s="2"/>
      <c r="F2" s="2"/>
      <c r="G2" s="2"/>
      <c r="H2" s="2"/>
      <c r="I2" s="3"/>
    </row>
    <row r="3" spans="2:10" x14ac:dyDescent="0.2">
      <c r="B3" s="2"/>
      <c r="C3" s="2"/>
      <c r="D3" s="4"/>
      <c r="E3" s="2"/>
      <c r="F3" s="2"/>
      <c r="G3" s="2"/>
      <c r="H3" s="2"/>
      <c r="I3" s="3"/>
    </row>
    <row r="4" spans="2:10" x14ac:dyDescent="0.2">
      <c r="B4" s="4" t="s">
        <v>1</v>
      </c>
      <c r="C4" s="2" t="str">
        <f>IF(Verlofoverzicht!D2="","",Verlofoverzicht!D2)</f>
        <v>Maickel</v>
      </c>
      <c r="D4" s="4" t="s">
        <v>2</v>
      </c>
      <c r="E4" s="2">
        <v>7</v>
      </c>
      <c r="F4" s="4" t="s">
        <v>3</v>
      </c>
      <c r="G4" s="5">
        <f>Verlofoverzicht!$O$2</f>
        <v>2025</v>
      </c>
      <c r="H4" s="2"/>
      <c r="I4" s="3"/>
    </row>
    <row r="5" spans="2:10" ht="6" customHeight="1" x14ac:dyDescent="0.2">
      <c r="B5" s="6"/>
      <c r="C5" s="2"/>
      <c r="D5" s="4"/>
      <c r="E5" s="3"/>
      <c r="F5" s="2"/>
      <c r="G5" s="2"/>
      <c r="H5" s="2"/>
      <c r="I5" s="3"/>
    </row>
    <row r="6" spans="2:10" ht="12" customHeight="1" x14ac:dyDescent="0.2">
      <c r="B6" s="4" t="s">
        <v>5</v>
      </c>
      <c r="C6" s="5">
        <v>38</v>
      </c>
      <c r="D6" s="4" t="s">
        <v>6</v>
      </c>
      <c r="E6" s="2" t="s">
        <v>7</v>
      </c>
      <c r="F6" s="4"/>
      <c r="G6" s="8"/>
      <c r="H6" s="2"/>
      <c r="I6" s="3"/>
    </row>
    <row r="7" spans="2:10" ht="12" customHeight="1" thickBot="1" x14ac:dyDescent="0.25">
      <c r="B7" s="9"/>
      <c r="C7" s="2"/>
      <c r="D7" s="4"/>
      <c r="E7" s="2"/>
      <c r="F7" s="2"/>
      <c r="G7" s="2"/>
      <c r="H7" s="2"/>
      <c r="I7" s="3"/>
    </row>
    <row r="8" spans="2:10" s="7" customFormat="1" ht="12.75" thickBot="1" x14ac:dyDescent="0.25">
      <c r="B8" s="151" t="s">
        <v>8</v>
      </c>
      <c r="C8" s="152" t="s">
        <v>9</v>
      </c>
      <c r="D8" s="153" t="s">
        <v>20</v>
      </c>
      <c r="E8" s="152" t="s">
        <v>10</v>
      </c>
      <c r="F8" s="152" t="s">
        <v>11</v>
      </c>
      <c r="G8" s="152" t="s">
        <v>12</v>
      </c>
      <c r="H8" s="154" t="s">
        <v>59</v>
      </c>
    </row>
    <row r="9" spans="2:10" s="8" customFormat="1" ht="13.5" customHeight="1" thickBot="1" x14ac:dyDescent="0.25">
      <c r="B9" s="147"/>
      <c r="C9" s="148"/>
      <c r="D9" s="149" t="s">
        <v>73</v>
      </c>
      <c r="E9" s="148"/>
      <c r="F9" s="148"/>
      <c r="G9" s="148"/>
      <c r="H9" s="150"/>
    </row>
    <row r="10" spans="2:10" s="12" customFormat="1" ht="12.75" customHeight="1" x14ac:dyDescent="0.2">
      <c r="B10" s="157">
        <f>DATE(G4,E4,1)</f>
        <v>45839</v>
      </c>
      <c r="C10" s="158">
        <f>IFERROR(VLOOKUP(TEXT(WEEKDAY(B10),"dddd"),Afspraken!$A$4:$G$8,7,FALSE),"")</f>
        <v>8.5</v>
      </c>
      <c r="D10" s="159"/>
      <c r="E10" s="160">
        <v>6.25</v>
      </c>
      <c r="F10" s="161"/>
      <c r="G10" s="161"/>
      <c r="H10" s="162"/>
    </row>
    <row r="11" spans="2:10" ht="12.75" customHeight="1" x14ac:dyDescent="0.2">
      <c r="B11" s="163">
        <f>IF(MONTH(B10+1)&lt;&gt;$E$4,"",B10+1)</f>
        <v>45840</v>
      </c>
      <c r="C11" s="140">
        <f>IFERROR(VLOOKUP(TEXT(WEEKDAY(B11),"dddd"),Afspraken!$A$4:$G$8,7,FALSE),"")</f>
        <v>8.5</v>
      </c>
      <c r="D11" s="146"/>
      <c r="E11" s="141">
        <v>8.5</v>
      </c>
      <c r="F11" s="13"/>
      <c r="G11" s="13"/>
      <c r="H11" s="43"/>
      <c r="I11" s="12"/>
      <c r="J11" s="12"/>
    </row>
    <row r="12" spans="2:10" ht="12.75" customHeight="1" x14ac:dyDescent="0.2">
      <c r="B12" s="163">
        <f t="shared" ref="B12:B38" si="0">IF(MONTH(B11+1)&lt;&gt;$E$4,"",B11+1)</f>
        <v>45841</v>
      </c>
      <c r="C12" s="140">
        <f>IFERROR(VLOOKUP(TEXT(WEEKDAY(B12),"dddd"),Afspraken!$A$4:$G$8,7,FALSE),"")</f>
        <v>8.5</v>
      </c>
      <c r="D12" s="146"/>
      <c r="E12" s="141">
        <v>1.5</v>
      </c>
      <c r="F12" s="13"/>
      <c r="G12" s="13">
        <v>7</v>
      </c>
      <c r="H12" s="43"/>
      <c r="I12" s="12"/>
      <c r="J12" s="12"/>
    </row>
    <row r="13" spans="2:10" ht="12.75" customHeight="1" x14ac:dyDescent="0.2">
      <c r="B13" s="163">
        <f t="shared" si="0"/>
        <v>45842</v>
      </c>
      <c r="C13" s="140">
        <f>IFERROR(VLOOKUP(TEXT(WEEKDAY(B13),"dddd"),Afspraken!$A$4:$G$8,7,FALSE),"")</f>
        <v>5.9999999999999982</v>
      </c>
      <c r="D13" s="146"/>
      <c r="E13" s="141"/>
      <c r="F13" s="13"/>
      <c r="G13" s="13">
        <v>6</v>
      </c>
      <c r="H13" s="43"/>
      <c r="I13" s="12"/>
      <c r="J13" s="12"/>
    </row>
    <row r="14" spans="2:10" ht="12.75" customHeight="1" x14ac:dyDescent="0.2">
      <c r="B14" s="163">
        <f t="shared" si="0"/>
        <v>45843</v>
      </c>
      <c r="C14" s="140" t="str">
        <f>IFERROR(VLOOKUP(TEXT(WEEKDAY(B14),"dddd"),Afspraken!$A$4:$G$8,7,FALSE),"")</f>
        <v/>
      </c>
      <c r="D14" s="146"/>
      <c r="E14" s="141"/>
      <c r="F14" s="13"/>
      <c r="G14" s="13"/>
      <c r="H14" s="43"/>
      <c r="I14" s="12"/>
      <c r="J14" s="12"/>
    </row>
    <row r="15" spans="2:10" ht="12.75" customHeight="1" x14ac:dyDescent="0.2">
      <c r="B15" s="163">
        <f t="shared" si="0"/>
        <v>45844</v>
      </c>
      <c r="C15" s="140" t="str">
        <f>IFERROR(VLOOKUP(TEXT(WEEKDAY(B15),"dddd"),Afspraken!$A$4:$G$8,7,FALSE),"")</f>
        <v/>
      </c>
      <c r="D15" s="146"/>
      <c r="E15" s="142"/>
      <c r="F15" s="13"/>
      <c r="G15" s="13"/>
      <c r="H15" s="44"/>
      <c r="I15" s="12"/>
      <c r="J15" s="12"/>
    </row>
    <row r="16" spans="2:10" ht="12.75" customHeight="1" x14ac:dyDescent="0.2">
      <c r="B16" s="163">
        <f t="shared" si="0"/>
        <v>45845</v>
      </c>
      <c r="C16" s="140">
        <f>IFERROR(VLOOKUP(TEXT(WEEKDAY(B16),"dddd"),Afspraken!$A$4:$G$8,7,FALSE),"")</f>
        <v>8.5</v>
      </c>
      <c r="D16" s="146" t="s">
        <v>110</v>
      </c>
      <c r="E16" s="143">
        <v>8.5</v>
      </c>
      <c r="F16" s="15"/>
      <c r="G16" s="15"/>
      <c r="H16" s="45"/>
      <c r="I16" s="12"/>
    </row>
    <row r="17" spans="2:9" ht="12.75" customHeight="1" x14ac:dyDescent="0.2">
      <c r="B17" s="163">
        <f t="shared" si="0"/>
        <v>45846</v>
      </c>
      <c r="C17" s="140">
        <f>IFERROR(VLOOKUP(TEXT(WEEKDAY(B17),"dddd"),Afspraken!$A$4:$G$8,7,FALSE),"")</f>
        <v>8.5</v>
      </c>
      <c r="D17" s="146"/>
      <c r="E17" s="141">
        <v>8.5</v>
      </c>
      <c r="F17" s="10"/>
      <c r="G17" s="10"/>
      <c r="H17" s="43"/>
      <c r="I17" s="12"/>
    </row>
    <row r="18" spans="2:9" ht="12.75" customHeight="1" x14ac:dyDescent="0.2">
      <c r="B18" s="163">
        <f t="shared" si="0"/>
        <v>45847</v>
      </c>
      <c r="C18" s="140">
        <f>IFERROR(VLOOKUP(TEXT(WEEKDAY(B18),"dddd"),Afspraken!$A$4:$G$8,7,FALSE),"")</f>
        <v>8.5</v>
      </c>
      <c r="D18" s="146"/>
      <c r="E18" s="141">
        <v>7.25</v>
      </c>
      <c r="F18" s="13"/>
      <c r="G18" s="13"/>
      <c r="H18" s="43"/>
      <c r="I18" s="12"/>
    </row>
    <row r="19" spans="2:9" ht="12.75" customHeight="1" x14ac:dyDescent="0.2">
      <c r="B19" s="163">
        <f t="shared" si="0"/>
        <v>45848</v>
      </c>
      <c r="C19" s="140">
        <f>IFERROR(VLOOKUP(TEXT(WEEKDAY(B19),"dddd"),Afspraken!$A$4:$G$8,7,FALSE),"")</f>
        <v>8.5</v>
      </c>
      <c r="D19" s="146"/>
      <c r="E19" s="141">
        <v>13</v>
      </c>
      <c r="F19" s="13"/>
      <c r="G19" s="13"/>
      <c r="H19" s="43"/>
      <c r="I19" s="12"/>
    </row>
    <row r="20" spans="2:9" ht="12.75" customHeight="1" x14ac:dyDescent="0.2">
      <c r="B20" s="163">
        <f t="shared" si="0"/>
        <v>45849</v>
      </c>
      <c r="C20" s="140">
        <f>IFERROR(VLOOKUP(TEXT(WEEKDAY(B20),"dddd"),Afspraken!$A$4:$G$8,7,FALSE),"")</f>
        <v>5.9999999999999982</v>
      </c>
      <c r="D20" s="146"/>
      <c r="E20" s="141">
        <v>6</v>
      </c>
      <c r="F20" s="13"/>
      <c r="G20" s="13"/>
      <c r="H20" s="43"/>
      <c r="I20" s="12"/>
    </row>
    <row r="21" spans="2:9" ht="12.75" customHeight="1" x14ac:dyDescent="0.2">
      <c r="B21" s="163">
        <f t="shared" si="0"/>
        <v>45850</v>
      </c>
      <c r="C21" s="140" t="str">
        <f>IFERROR(VLOOKUP(TEXT(WEEKDAY(B21),"dddd"),Afspraken!$A$4:$G$8,7,FALSE),"")</f>
        <v/>
      </c>
      <c r="D21" s="146"/>
      <c r="E21" s="141"/>
      <c r="F21" s="13"/>
      <c r="G21" s="13"/>
      <c r="H21" s="44"/>
      <c r="I21" s="12"/>
    </row>
    <row r="22" spans="2:9" ht="12.75" customHeight="1" x14ac:dyDescent="0.2">
      <c r="B22" s="163">
        <f t="shared" si="0"/>
        <v>45851</v>
      </c>
      <c r="C22" s="140" t="str">
        <f>IFERROR(VLOOKUP(TEXT(WEEKDAY(B22),"dddd"),Afspraken!$A$4:$G$8,7,FALSE),"")</f>
        <v/>
      </c>
      <c r="D22" s="146"/>
      <c r="E22" s="143"/>
      <c r="F22" s="15"/>
      <c r="G22" s="15"/>
      <c r="H22" s="45"/>
      <c r="I22" s="12"/>
    </row>
    <row r="23" spans="2:9" ht="12.75" customHeight="1" x14ac:dyDescent="0.2">
      <c r="B23" s="163">
        <f t="shared" si="0"/>
        <v>45852</v>
      </c>
      <c r="C23" s="140">
        <f>IFERROR(VLOOKUP(TEXT(WEEKDAY(B23),"dddd"),Afspraken!$A$4:$G$8,7,FALSE),"")</f>
        <v>8.5</v>
      </c>
      <c r="D23" s="146"/>
      <c r="E23" s="143">
        <v>8.5</v>
      </c>
      <c r="F23" s="15"/>
      <c r="G23" s="15"/>
      <c r="H23" s="45"/>
      <c r="I23" s="12"/>
    </row>
    <row r="24" spans="2:9" ht="12.75" customHeight="1" x14ac:dyDescent="0.2">
      <c r="B24" s="163">
        <f t="shared" si="0"/>
        <v>45853</v>
      </c>
      <c r="C24" s="140">
        <f>IFERROR(VLOOKUP(TEXT(WEEKDAY(B24),"dddd"),Afspraken!$A$4:$G$8,7,FALSE),"")</f>
        <v>8.5</v>
      </c>
      <c r="D24" s="146"/>
      <c r="E24" s="141">
        <v>8.5</v>
      </c>
      <c r="F24" s="10"/>
      <c r="G24" s="10"/>
      <c r="H24" s="43"/>
      <c r="I24" s="12"/>
    </row>
    <row r="25" spans="2:9" ht="12.75" customHeight="1" x14ac:dyDescent="0.2">
      <c r="B25" s="163">
        <f t="shared" si="0"/>
        <v>45854</v>
      </c>
      <c r="C25" s="140">
        <f>IFERROR(VLOOKUP(TEXT(WEEKDAY(B25),"dddd"),Afspraken!$A$4:$G$8,7,FALSE),"")</f>
        <v>8.5</v>
      </c>
      <c r="D25" s="146"/>
      <c r="E25" s="141">
        <v>8.5</v>
      </c>
      <c r="F25" s="13"/>
      <c r="G25" s="13"/>
      <c r="H25" s="44"/>
      <c r="I25" s="12"/>
    </row>
    <row r="26" spans="2:9" ht="12.75" customHeight="1" x14ac:dyDescent="0.2">
      <c r="B26" s="163">
        <f t="shared" si="0"/>
        <v>45855</v>
      </c>
      <c r="C26" s="140">
        <f>IFERROR(VLOOKUP(TEXT(WEEKDAY(B26),"dddd"),Afspraken!$A$4:$G$8,7,FALSE),"")</f>
        <v>8.5</v>
      </c>
      <c r="D26" s="146"/>
      <c r="E26" s="141">
        <v>8.5</v>
      </c>
      <c r="F26" s="13"/>
      <c r="G26" s="13"/>
      <c r="H26" s="44"/>
      <c r="I26" s="12"/>
    </row>
    <row r="27" spans="2:9" ht="12.75" customHeight="1" x14ac:dyDescent="0.2">
      <c r="B27" s="163">
        <f t="shared" si="0"/>
        <v>45856</v>
      </c>
      <c r="C27" s="140">
        <f>IFERROR(VLOOKUP(TEXT(WEEKDAY(B27),"dddd"),Afspraken!$A$4:$G$8,7,FALSE),"")</f>
        <v>5.9999999999999982</v>
      </c>
      <c r="D27" s="146"/>
      <c r="E27" s="141">
        <v>6</v>
      </c>
      <c r="F27" s="13"/>
      <c r="G27" s="13"/>
      <c r="H27" s="44"/>
      <c r="I27" s="12"/>
    </row>
    <row r="28" spans="2:9" ht="12.75" customHeight="1" x14ac:dyDescent="0.2">
      <c r="B28" s="163">
        <f t="shared" si="0"/>
        <v>45857</v>
      </c>
      <c r="C28" s="140" t="str">
        <f>IFERROR(VLOOKUP(TEXT(WEEKDAY(B28),"dddd"),Afspraken!$A$4:$G$8,7,FALSE),"")</f>
        <v/>
      </c>
      <c r="D28" s="146"/>
      <c r="E28" s="141"/>
      <c r="F28" s="13"/>
      <c r="G28" s="13"/>
      <c r="H28" s="44"/>
      <c r="I28" s="12"/>
    </row>
    <row r="29" spans="2:9" ht="12.75" customHeight="1" x14ac:dyDescent="0.2">
      <c r="B29" s="163">
        <f t="shared" si="0"/>
        <v>45858</v>
      </c>
      <c r="C29" s="140" t="str">
        <f>IFERROR(VLOOKUP(TEXT(WEEKDAY(B29),"dddd"),Afspraken!$A$4:$G$8,7,FALSE),"")</f>
        <v/>
      </c>
      <c r="D29" s="146"/>
      <c r="E29" s="143"/>
      <c r="F29" s="15"/>
      <c r="G29" s="15"/>
      <c r="H29" s="45"/>
      <c r="I29" s="12"/>
    </row>
    <row r="30" spans="2:9" ht="12.75" customHeight="1" x14ac:dyDescent="0.2">
      <c r="B30" s="163">
        <f t="shared" si="0"/>
        <v>45859</v>
      </c>
      <c r="C30" s="140">
        <f>IFERROR(VLOOKUP(TEXT(WEEKDAY(B30),"dddd"),Afspraken!$A$4:$G$8,7,FALSE),"")</f>
        <v>8.5</v>
      </c>
      <c r="D30" s="146"/>
      <c r="E30" s="143"/>
      <c r="F30" s="15"/>
      <c r="G30" s="15">
        <v>8.5</v>
      </c>
      <c r="H30" s="45"/>
      <c r="I30" s="12"/>
    </row>
    <row r="31" spans="2:9" ht="12.75" customHeight="1" x14ac:dyDescent="0.2">
      <c r="B31" s="163">
        <f t="shared" si="0"/>
        <v>45860</v>
      </c>
      <c r="C31" s="140">
        <f>IFERROR(VLOOKUP(TEXT(WEEKDAY(B31),"dddd"),Afspraken!$A$4:$G$8,7,FALSE),"")</f>
        <v>8.5</v>
      </c>
      <c r="D31" s="146"/>
      <c r="E31" s="141"/>
      <c r="F31" s="10"/>
      <c r="G31" s="10">
        <v>8.5</v>
      </c>
      <c r="H31" s="43"/>
      <c r="I31" s="12"/>
    </row>
    <row r="32" spans="2:9" ht="12.75" customHeight="1" x14ac:dyDescent="0.2">
      <c r="B32" s="163">
        <f t="shared" si="0"/>
        <v>45861</v>
      </c>
      <c r="C32" s="140">
        <f>IFERROR(VLOOKUP(TEXT(WEEKDAY(B32),"dddd"),Afspraken!$A$4:$G$8,7,FALSE),"")</f>
        <v>8.5</v>
      </c>
      <c r="D32" s="146"/>
      <c r="E32" s="141"/>
      <c r="F32" s="13"/>
      <c r="G32" s="13">
        <v>8.5</v>
      </c>
      <c r="H32" s="44"/>
      <c r="I32" s="12"/>
    </row>
    <row r="33" spans="2:10" ht="12.75" customHeight="1" x14ac:dyDescent="0.2">
      <c r="B33" s="163">
        <f t="shared" si="0"/>
        <v>45862</v>
      </c>
      <c r="C33" s="140">
        <f>IFERROR(VLOOKUP(TEXT(WEEKDAY(B33),"dddd"),Afspraken!$A$4:$G$8,7,FALSE),"")</f>
        <v>8.5</v>
      </c>
      <c r="D33" s="146"/>
      <c r="E33" s="141"/>
      <c r="F33" s="13"/>
      <c r="G33" s="13">
        <v>8.5</v>
      </c>
      <c r="H33" s="44"/>
      <c r="I33" s="12"/>
    </row>
    <row r="34" spans="2:10" ht="12.75" customHeight="1" x14ac:dyDescent="0.2">
      <c r="B34" s="163">
        <f t="shared" si="0"/>
        <v>45863</v>
      </c>
      <c r="C34" s="140">
        <f>IFERROR(VLOOKUP(TEXT(WEEKDAY(B34),"dddd"),Afspraken!$A$4:$G$8,7,FALSE),"")</f>
        <v>5.9999999999999982</v>
      </c>
      <c r="D34" s="146"/>
      <c r="E34" s="141"/>
      <c r="F34" s="13"/>
      <c r="G34" s="13">
        <v>6</v>
      </c>
      <c r="H34" s="44"/>
      <c r="I34" s="12"/>
    </row>
    <row r="35" spans="2:10" ht="12.75" customHeight="1" x14ac:dyDescent="0.2">
      <c r="B35" s="163">
        <f t="shared" si="0"/>
        <v>45864</v>
      </c>
      <c r="C35" s="140" t="str">
        <f>IFERROR(VLOOKUP(TEXT(WEEKDAY(B35),"dddd"),Afspraken!$A$4:$G$8,7,FALSE),"")</f>
        <v/>
      </c>
      <c r="D35" s="146"/>
      <c r="E35" s="141"/>
      <c r="F35" s="13"/>
      <c r="G35" s="13"/>
      <c r="H35" s="44"/>
      <c r="I35" s="12"/>
    </row>
    <row r="36" spans="2:10" ht="12.75" customHeight="1" x14ac:dyDescent="0.2">
      <c r="B36" s="163">
        <f t="shared" si="0"/>
        <v>45865</v>
      </c>
      <c r="C36" s="140" t="str">
        <f>IFERROR(VLOOKUP(TEXT(WEEKDAY(B36),"dddd"),Afspraken!$A$4:$G$8,7,FALSE),"")</f>
        <v/>
      </c>
      <c r="D36" s="146"/>
      <c r="E36" s="143"/>
      <c r="F36" s="15"/>
      <c r="G36" s="15"/>
      <c r="H36" s="45"/>
      <c r="I36" s="12"/>
    </row>
    <row r="37" spans="2:10" ht="12.75" customHeight="1" x14ac:dyDescent="0.2">
      <c r="B37" s="163">
        <f t="shared" si="0"/>
        <v>45866</v>
      </c>
      <c r="C37" s="140">
        <f>IFERROR(VLOOKUP(TEXT(WEEKDAY(B37),"dddd"),Afspraken!$A$4:$G$8,7,FALSE),"")</f>
        <v>8.5</v>
      </c>
      <c r="D37" s="146"/>
      <c r="E37" s="143"/>
      <c r="F37" s="15"/>
      <c r="G37" s="15">
        <v>8.5</v>
      </c>
      <c r="H37" s="45"/>
      <c r="I37" s="12"/>
    </row>
    <row r="38" spans="2:10" ht="12.75" customHeight="1" x14ac:dyDescent="0.2">
      <c r="B38" s="163">
        <f t="shared" si="0"/>
        <v>45867</v>
      </c>
      <c r="C38" s="140">
        <f>IFERROR(VLOOKUP(TEXT(WEEKDAY(B38),"dddd"),Afspraken!$A$4:$G$8,7,FALSE),"")</f>
        <v>8.5</v>
      </c>
      <c r="D38" s="146"/>
      <c r="E38" s="144"/>
      <c r="F38" s="138"/>
      <c r="G38" s="138">
        <v>8.5</v>
      </c>
      <c r="H38" s="139"/>
      <c r="I38" s="12"/>
    </row>
    <row r="39" spans="2:10" ht="12.75" customHeight="1" x14ac:dyDescent="0.2">
      <c r="B39" s="163">
        <f>IF(MONTH(B37+2)&lt;&gt;$E$4,"",B37+2)</f>
        <v>45868</v>
      </c>
      <c r="C39" s="140">
        <f>IFERROR(VLOOKUP(TEXT(WEEKDAY(B39),"dddd"),Afspraken!$A$4:$G$8,7,FALSE),"")</f>
        <v>8.5</v>
      </c>
      <c r="D39" s="146"/>
      <c r="E39" s="141"/>
      <c r="F39" s="13"/>
      <c r="G39" s="13">
        <v>8.5</v>
      </c>
      <c r="H39" s="44"/>
      <c r="I39" s="12"/>
    </row>
    <row r="40" spans="2:10" ht="12.75" customHeight="1" thickBot="1" x14ac:dyDescent="0.25">
      <c r="B40" s="164">
        <f>IF(MONTH(B37+3)&lt;&gt;$E$4,"",B37+3)</f>
        <v>45869</v>
      </c>
      <c r="C40" s="165">
        <f>IFERROR(VLOOKUP(TEXT(WEEKDAY(B40),"dddd"),Afspraken!$A$4:$G$8,7,FALSE),"")</f>
        <v>8.5</v>
      </c>
      <c r="D40" s="166"/>
      <c r="E40" s="167"/>
      <c r="F40" s="168"/>
      <c r="G40" s="168">
        <v>8.5</v>
      </c>
      <c r="H40" s="169"/>
      <c r="I40" s="12"/>
    </row>
    <row r="41" spans="2:10" s="14" customFormat="1" ht="12.75" customHeight="1" thickBot="1" x14ac:dyDescent="0.25">
      <c r="B41" s="21"/>
      <c r="C41" s="20"/>
      <c r="D41" s="175"/>
      <c r="E41" s="22"/>
      <c r="F41" s="175"/>
      <c r="G41" s="175"/>
      <c r="H41" s="175"/>
      <c r="I41" s="174"/>
    </row>
    <row r="42" spans="2:10" ht="12.75" thickBot="1" x14ac:dyDescent="0.25">
      <c r="B42" s="177" t="s">
        <v>18</v>
      </c>
      <c r="C42" s="171">
        <f>SUM(C10:C40)</f>
        <v>185.5</v>
      </c>
      <c r="D42" s="172">
        <v>1</v>
      </c>
      <c r="E42" s="171">
        <f t="shared" ref="E42:H42" si="1">SUM(E10:E40)</f>
        <v>99.5</v>
      </c>
      <c r="F42" s="171">
        <f t="shared" si="1"/>
        <v>0</v>
      </c>
      <c r="G42" s="171">
        <f t="shared" si="1"/>
        <v>87</v>
      </c>
      <c r="H42" s="173">
        <f t="shared" si="1"/>
        <v>0</v>
      </c>
      <c r="I42" s="3"/>
      <c r="J42" s="8"/>
    </row>
    <row r="43" spans="2:10" x14ac:dyDescent="0.2">
      <c r="B43" s="9"/>
      <c r="C43" s="7"/>
      <c r="D43" s="176"/>
      <c r="E43" s="23"/>
      <c r="F43" s="176"/>
      <c r="G43" s="176"/>
      <c r="H43" s="176"/>
      <c r="I43" s="11"/>
      <c r="J43" s="8"/>
    </row>
    <row r="44" spans="2:10" x14ac:dyDescent="0.2">
      <c r="B44" s="6"/>
      <c r="C44" s="7"/>
      <c r="D44" s="16"/>
      <c r="E44" s="23"/>
      <c r="F44" s="16"/>
      <c r="G44" s="16"/>
      <c r="H44" s="16"/>
      <c r="I44" s="17"/>
      <c r="J44" s="8"/>
    </row>
    <row r="45" spans="2:10" x14ac:dyDescent="0.2">
      <c r="B45" s="9"/>
      <c r="D45" s="16"/>
      <c r="E45" s="4"/>
      <c r="F45" s="16"/>
      <c r="G45" s="16"/>
      <c r="H45" s="16"/>
      <c r="I45" s="17"/>
    </row>
    <row r="46" spans="2:10" x14ac:dyDescent="0.2">
      <c r="B46" s="322"/>
      <c r="C46" s="323"/>
      <c r="D46" s="4"/>
      <c r="E46" s="4"/>
      <c r="F46" s="4"/>
      <c r="G46" s="322"/>
      <c r="H46" s="322"/>
    </row>
    <row r="47" spans="2:10" x14ac:dyDescent="0.2">
      <c r="B47" s="2"/>
      <c r="C47" s="2"/>
      <c r="D47" s="2"/>
      <c r="E47" s="4"/>
      <c r="F47" s="2"/>
      <c r="G47" s="2"/>
      <c r="H47" s="2"/>
    </row>
    <row r="48" spans="2:10" x14ac:dyDescent="0.2">
      <c r="B48" s="2"/>
      <c r="C48" s="2"/>
      <c r="D48" s="2"/>
      <c r="E48" s="4"/>
      <c r="F48" s="2"/>
      <c r="G48" s="2"/>
      <c r="H48" s="2"/>
    </row>
    <row r="49" spans="2:9" x14ac:dyDescent="0.2">
      <c r="B49" s="2"/>
      <c r="C49" s="2"/>
      <c r="D49" s="2"/>
      <c r="E49" s="24"/>
      <c r="F49" s="2"/>
      <c r="G49" s="2"/>
      <c r="H49" s="2"/>
    </row>
    <row r="50" spans="2:9" x14ac:dyDescent="0.2">
      <c r="B50" s="9"/>
      <c r="C50" s="18"/>
      <c r="D50" s="18"/>
      <c r="E50" s="24"/>
      <c r="F50" s="18"/>
      <c r="G50" s="18"/>
      <c r="H50" s="18"/>
    </row>
    <row r="51" spans="2:9" x14ac:dyDescent="0.2">
      <c r="B51" s="9"/>
      <c r="C51" s="18"/>
      <c r="D51" s="18"/>
      <c r="E51" s="24"/>
      <c r="F51" s="18"/>
      <c r="G51" s="18"/>
      <c r="H51" s="18"/>
      <c r="I51" s="3"/>
    </row>
    <row r="52" spans="2:9" x14ac:dyDescent="0.2">
      <c r="B52" s="9"/>
      <c r="C52" s="18"/>
      <c r="D52" s="18"/>
      <c r="E52" s="24"/>
      <c r="F52" s="18"/>
      <c r="G52" s="18"/>
      <c r="H52" s="18"/>
      <c r="I52" s="3"/>
    </row>
    <row r="53" spans="2:9" x14ac:dyDescent="0.2">
      <c r="B53" s="9"/>
      <c r="C53" s="18"/>
      <c r="D53" s="18"/>
      <c r="F53" s="18"/>
      <c r="G53" s="18"/>
      <c r="H53" s="18"/>
      <c r="I53" s="3"/>
    </row>
  </sheetData>
  <mergeCells count="2">
    <mergeCell ref="B46:C46"/>
    <mergeCell ref="G46:H46"/>
  </mergeCells>
  <conditionalFormatting sqref="B10:H40">
    <cfRule type="expression" dxfId="5" priority="1">
      <formula>WEEKDAY($B10,2)&gt;=6</formula>
    </cfRule>
  </conditionalFormatting>
  <pageMargins left="0.7" right="0.7" top="0.75" bottom="0.75" header="0.3" footer="0.3"/>
  <pageSetup paperSize="9" scale="61"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J53"/>
  <sheetViews>
    <sheetView workbookViewId="0">
      <selection activeCell="C7" sqref="C7"/>
    </sheetView>
  </sheetViews>
  <sheetFormatPr defaultColWidth="13.42578125" defaultRowHeight="12" x14ac:dyDescent="0.2"/>
  <cols>
    <col min="1" max="1" width="8.7109375" style="3" customWidth="1"/>
    <col min="2" max="2" width="13.42578125" style="19"/>
    <col min="3" max="3" width="11.7109375" style="3" bestFit="1" customWidth="1"/>
    <col min="4" max="4" width="17.7109375" style="3" bestFit="1" customWidth="1"/>
    <col min="5" max="5" width="10.7109375" style="14" bestFit="1" customWidth="1"/>
    <col min="6" max="6" width="5.5703125" style="3" bestFit="1" customWidth="1"/>
    <col min="7" max="7" width="5.85546875" style="3" bestFit="1" customWidth="1"/>
    <col min="8" max="8" width="15.140625" style="3" bestFit="1" customWidth="1"/>
    <col min="9" max="9" width="15.140625" style="5" bestFit="1" customWidth="1"/>
    <col min="10" max="16384" width="13.42578125" style="3"/>
  </cols>
  <sheetData>
    <row r="1" spans="2:10" x14ac:dyDescent="0.2">
      <c r="D1" s="14"/>
      <c r="E1" s="3"/>
      <c r="H1" s="5"/>
      <c r="I1" s="3"/>
    </row>
    <row r="2" spans="2:10" x14ac:dyDescent="0.2">
      <c r="B2" s="1" t="s">
        <v>0</v>
      </c>
      <c r="C2" s="2"/>
      <c r="D2" s="4"/>
      <c r="E2" s="2"/>
      <c r="F2" s="2"/>
      <c r="G2" s="2"/>
      <c r="H2" s="2"/>
      <c r="I2" s="3"/>
    </row>
    <row r="3" spans="2:10" x14ac:dyDescent="0.2">
      <c r="B3" s="2"/>
      <c r="C3" s="2"/>
      <c r="D3" s="4"/>
      <c r="E3" s="2"/>
      <c r="F3" s="2"/>
      <c r="G3" s="2"/>
      <c r="H3" s="2"/>
      <c r="I3" s="3"/>
    </row>
    <row r="4" spans="2:10" x14ac:dyDescent="0.2">
      <c r="B4" s="4" t="s">
        <v>1</v>
      </c>
      <c r="C4" s="2" t="str">
        <f>IF(Verlofoverzicht!D2="","",Verlofoverzicht!D2)</f>
        <v>Maickel</v>
      </c>
      <c r="D4" s="4" t="s">
        <v>2</v>
      </c>
      <c r="E4" s="2">
        <v>8</v>
      </c>
      <c r="F4" s="4" t="s">
        <v>3</v>
      </c>
      <c r="G4" s="5">
        <f>Verlofoverzicht!$O$2</f>
        <v>2025</v>
      </c>
      <c r="H4" s="2"/>
      <c r="I4" s="3"/>
    </row>
    <row r="5" spans="2:10" ht="6" customHeight="1" x14ac:dyDescent="0.2">
      <c r="B5" s="6"/>
      <c r="C5" s="2"/>
      <c r="D5" s="4"/>
      <c r="E5" s="3"/>
      <c r="F5" s="2"/>
      <c r="G5" s="2"/>
      <c r="H5" s="2"/>
      <c r="I5" s="3"/>
    </row>
    <row r="6" spans="2:10" ht="12" customHeight="1" x14ac:dyDescent="0.2">
      <c r="B6" s="4" t="s">
        <v>5</v>
      </c>
      <c r="C6" s="5">
        <v>38</v>
      </c>
      <c r="D6" s="4" t="s">
        <v>6</v>
      </c>
      <c r="E6" s="2" t="s">
        <v>7</v>
      </c>
      <c r="F6" s="4"/>
      <c r="G6" s="8"/>
      <c r="H6" s="2"/>
      <c r="I6" s="3"/>
    </row>
    <row r="7" spans="2:10" ht="12" customHeight="1" thickBot="1" x14ac:dyDescent="0.25">
      <c r="B7" s="9"/>
      <c r="C7" s="2"/>
      <c r="D7" s="4"/>
      <c r="E7" s="2"/>
      <c r="F7" s="2"/>
      <c r="G7" s="2"/>
      <c r="H7" s="2"/>
      <c r="I7" s="3"/>
    </row>
    <row r="8" spans="2:10" s="7" customFormat="1" ht="12.75" thickBot="1" x14ac:dyDescent="0.25">
      <c r="B8" s="151" t="s">
        <v>8</v>
      </c>
      <c r="C8" s="152" t="s">
        <v>9</v>
      </c>
      <c r="D8" s="153" t="s">
        <v>20</v>
      </c>
      <c r="E8" s="152" t="s">
        <v>10</v>
      </c>
      <c r="F8" s="152" t="s">
        <v>11</v>
      </c>
      <c r="G8" s="152" t="s">
        <v>12</v>
      </c>
      <c r="H8" s="154" t="s">
        <v>59</v>
      </c>
    </row>
    <row r="9" spans="2:10" s="8" customFormat="1" ht="13.5" customHeight="1" thickBot="1" x14ac:dyDescent="0.25">
      <c r="B9" s="147"/>
      <c r="C9" s="148"/>
      <c r="D9" s="149" t="s">
        <v>73</v>
      </c>
      <c r="E9" s="148"/>
      <c r="F9" s="148"/>
      <c r="G9" s="148"/>
      <c r="H9" s="150"/>
    </row>
    <row r="10" spans="2:10" s="12" customFormat="1" ht="12.75" customHeight="1" x14ac:dyDescent="0.2">
      <c r="B10" s="157">
        <f>DATE(G4,E4,1)</f>
        <v>45870</v>
      </c>
      <c r="C10" s="158">
        <f>IFERROR(VLOOKUP(TEXT(WEEKDAY(B10),"dddd"),Afspraken!$A$4:$G$8,7,FALSE),"")</f>
        <v>5.9999999999999982</v>
      </c>
      <c r="D10" s="159"/>
      <c r="E10" s="160"/>
      <c r="F10" s="161"/>
      <c r="G10" s="161">
        <v>6</v>
      </c>
      <c r="H10" s="162"/>
    </row>
    <row r="11" spans="2:10" ht="12.75" customHeight="1" x14ac:dyDescent="0.2">
      <c r="B11" s="163">
        <f>IF(MONTH(B10+1)&lt;&gt;$E$4,"",B10+1)</f>
        <v>45871</v>
      </c>
      <c r="C11" s="140" t="str">
        <f>IFERROR(VLOOKUP(TEXT(WEEKDAY(B11),"dddd"),Afspraken!$A$4:$G$8,7,FALSE),"")</f>
        <v/>
      </c>
      <c r="D11" s="146"/>
      <c r="E11" s="141"/>
      <c r="F11" s="13"/>
      <c r="G11" s="13"/>
      <c r="H11" s="43"/>
      <c r="I11" s="12"/>
      <c r="J11" s="12"/>
    </row>
    <row r="12" spans="2:10" ht="12.75" customHeight="1" x14ac:dyDescent="0.2">
      <c r="B12" s="163">
        <f t="shared" ref="B12:B38" si="0">IF(MONTH(B11+1)&lt;&gt;$E$4,"",B11+1)</f>
        <v>45872</v>
      </c>
      <c r="C12" s="140" t="str">
        <f>IFERROR(VLOOKUP(TEXT(WEEKDAY(B12),"dddd"),Afspraken!$A$4:$G$8,7,FALSE),"")</f>
        <v/>
      </c>
      <c r="D12" s="146"/>
      <c r="E12" s="141"/>
      <c r="F12" s="13"/>
      <c r="G12" s="13"/>
      <c r="H12" s="43"/>
      <c r="I12" s="12"/>
      <c r="J12" s="12"/>
    </row>
    <row r="13" spans="2:10" ht="12.75" customHeight="1" x14ac:dyDescent="0.2">
      <c r="B13" s="163">
        <f t="shared" si="0"/>
        <v>45873</v>
      </c>
      <c r="C13" s="140">
        <f>IFERROR(VLOOKUP(TEXT(WEEKDAY(B13),"dddd"),Afspraken!$A$4:$G$8,7,FALSE),"")</f>
        <v>8.5</v>
      </c>
      <c r="D13" s="146"/>
      <c r="E13" s="141"/>
      <c r="F13" s="13"/>
      <c r="G13" s="13">
        <v>8.5</v>
      </c>
      <c r="H13" s="43"/>
      <c r="I13" s="12"/>
      <c r="J13" s="12"/>
    </row>
    <row r="14" spans="2:10" ht="12.75" customHeight="1" x14ac:dyDescent="0.2">
      <c r="B14" s="163">
        <f t="shared" si="0"/>
        <v>45874</v>
      </c>
      <c r="C14" s="140">
        <f>IFERROR(VLOOKUP(TEXT(WEEKDAY(B14),"dddd"),Afspraken!$A$4:$G$8,7,FALSE),"")</f>
        <v>8.5</v>
      </c>
      <c r="D14" s="146"/>
      <c r="E14" s="141"/>
      <c r="F14" s="13"/>
      <c r="G14" s="13">
        <v>8.5</v>
      </c>
      <c r="H14" s="43"/>
      <c r="I14" s="12"/>
      <c r="J14" s="12"/>
    </row>
    <row r="15" spans="2:10" ht="12.75" customHeight="1" x14ac:dyDescent="0.2">
      <c r="B15" s="163">
        <f t="shared" si="0"/>
        <v>45875</v>
      </c>
      <c r="C15" s="140">
        <f>IFERROR(VLOOKUP(TEXT(WEEKDAY(B15),"dddd"),Afspraken!$A$4:$G$8,7,FALSE),"")</f>
        <v>8.5</v>
      </c>
      <c r="D15" s="146"/>
      <c r="E15" s="142"/>
      <c r="F15" s="13"/>
      <c r="G15" s="13">
        <v>8.5</v>
      </c>
      <c r="H15" s="44"/>
      <c r="I15" s="12"/>
      <c r="J15" s="12"/>
    </row>
    <row r="16" spans="2:10" ht="12.75" customHeight="1" x14ac:dyDescent="0.2">
      <c r="B16" s="163">
        <f t="shared" si="0"/>
        <v>45876</v>
      </c>
      <c r="C16" s="140">
        <f>IFERROR(VLOOKUP(TEXT(WEEKDAY(B16),"dddd"),Afspraken!$A$4:$G$8,7,FALSE),"")</f>
        <v>8.5</v>
      </c>
      <c r="D16" s="146"/>
      <c r="E16" s="143"/>
      <c r="F16" s="15"/>
      <c r="G16" s="15">
        <v>8.5</v>
      </c>
      <c r="H16" s="45"/>
      <c r="I16" s="12"/>
    </row>
    <row r="17" spans="2:9" ht="12.75" customHeight="1" x14ac:dyDescent="0.2">
      <c r="B17" s="163">
        <f t="shared" si="0"/>
        <v>45877</v>
      </c>
      <c r="C17" s="140">
        <f>IFERROR(VLOOKUP(TEXT(WEEKDAY(B17),"dddd"),Afspraken!$A$4:$G$8,7,FALSE),"")</f>
        <v>5.9999999999999982</v>
      </c>
      <c r="D17" s="146"/>
      <c r="E17" s="141"/>
      <c r="F17" s="10"/>
      <c r="G17" s="10">
        <v>6</v>
      </c>
      <c r="H17" s="43"/>
      <c r="I17" s="12"/>
    </row>
    <row r="18" spans="2:9" ht="12.75" customHeight="1" x14ac:dyDescent="0.2">
      <c r="B18" s="163">
        <f t="shared" si="0"/>
        <v>45878</v>
      </c>
      <c r="C18" s="140" t="str">
        <f>IFERROR(VLOOKUP(TEXT(WEEKDAY(B18),"dddd"),Afspraken!$A$4:$G$8,7,FALSE),"")</f>
        <v/>
      </c>
      <c r="D18" s="146"/>
      <c r="E18" s="141"/>
      <c r="F18" s="13"/>
      <c r="G18" s="13"/>
      <c r="H18" s="43"/>
      <c r="I18" s="12"/>
    </row>
    <row r="19" spans="2:9" ht="12.75" customHeight="1" x14ac:dyDescent="0.2">
      <c r="B19" s="163">
        <f t="shared" si="0"/>
        <v>45879</v>
      </c>
      <c r="C19" s="140" t="str">
        <f>IFERROR(VLOOKUP(TEXT(WEEKDAY(B19),"dddd"),Afspraken!$A$4:$G$8,7,FALSE),"")</f>
        <v/>
      </c>
      <c r="D19" s="146"/>
      <c r="E19" s="141"/>
      <c r="F19" s="13"/>
      <c r="G19" s="13"/>
      <c r="H19" s="43"/>
      <c r="I19" s="12"/>
    </row>
    <row r="20" spans="2:9" ht="12.75" customHeight="1" x14ac:dyDescent="0.2">
      <c r="B20" s="163">
        <f t="shared" si="0"/>
        <v>45880</v>
      </c>
      <c r="C20" s="140">
        <f>IFERROR(VLOOKUP(TEXT(WEEKDAY(B20),"dddd"),Afspraken!$A$4:$G$8,7,FALSE),"")</f>
        <v>8.5</v>
      </c>
      <c r="D20" s="146"/>
      <c r="E20" s="141">
        <v>8.5</v>
      </c>
      <c r="F20" s="13"/>
      <c r="G20" s="13"/>
      <c r="H20" s="43"/>
      <c r="I20" s="12"/>
    </row>
    <row r="21" spans="2:9" ht="12.75" customHeight="1" x14ac:dyDescent="0.2">
      <c r="B21" s="163">
        <f t="shared" si="0"/>
        <v>45881</v>
      </c>
      <c r="C21" s="140">
        <f>IFERROR(VLOOKUP(TEXT(WEEKDAY(B21),"dddd"),Afspraken!$A$4:$G$8,7,FALSE),"")</f>
        <v>8.5</v>
      </c>
      <c r="D21" s="146"/>
      <c r="E21" s="141">
        <v>7.25</v>
      </c>
      <c r="F21" s="13"/>
      <c r="G21" s="13">
        <v>1.25</v>
      </c>
      <c r="H21" s="44"/>
      <c r="I21" s="12"/>
    </row>
    <row r="22" spans="2:9" ht="12.75" customHeight="1" x14ac:dyDescent="0.2">
      <c r="B22" s="163">
        <f t="shared" si="0"/>
        <v>45882</v>
      </c>
      <c r="C22" s="140">
        <f>IFERROR(VLOOKUP(TEXT(WEEKDAY(B22),"dddd"),Afspraken!$A$4:$G$8,7,FALSE),"")</f>
        <v>8.5</v>
      </c>
      <c r="D22" s="146"/>
      <c r="E22" s="143">
        <v>8.5</v>
      </c>
      <c r="F22" s="15"/>
      <c r="G22" s="15"/>
      <c r="H22" s="45"/>
      <c r="I22" s="12"/>
    </row>
    <row r="23" spans="2:9" ht="12.75" customHeight="1" x14ac:dyDescent="0.2">
      <c r="B23" s="163">
        <f t="shared" si="0"/>
        <v>45883</v>
      </c>
      <c r="C23" s="140">
        <f>IFERROR(VLOOKUP(TEXT(WEEKDAY(B23),"dddd"),Afspraken!$A$4:$G$8,7,FALSE),"")</f>
        <v>8.5</v>
      </c>
      <c r="D23" s="146"/>
      <c r="E23" s="143">
        <v>7.25</v>
      </c>
      <c r="F23" s="15"/>
      <c r="G23" s="15">
        <v>1.25</v>
      </c>
      <c r="H23" s="45"/>
      <c r="I23" s="12"/>
    </row>
    <row r="24" spans="2:9" ht="12.75" customHeight="1" x14ac:dyDescent="0.2">
      <c r="B24" s="163">
        <f t="shared" si="0"/>
        <v>45884</v>
      </c>
      <c r="C24" s="140">
        <f>IFERROR(VLOOKUP(TEXT(WEEKDAY(B24),"dddd"),Afspraken!$A$4:$G$8,7,FALSE),"")</f>
        <v>5.9999999999999982</v>
      </c>
      <c r="D24" s="146"/>
      <c r="E24" s="141"/>
      <c r="F24" s="10"/>
      <c r="G24" s="10">
        <v>6</v>
      </c>
      <c r="H24" s="43"/>
      <c r="I24" s="12"/>
    </row>
    <row r="25" spans="2:9" ht="12.75" customHeight="1" x14ac:dyDescent="0.2">
      <c r="B25" s="163">
        <f t="shared" si="0"/>
        <v>45885</v>
      </c>
      <c r="C25" s="140" t="str">
        <f>IFERROR(VLOOKUP(TEXT(WEEKDAY(B25),"dddd"),Afspraken!$A$4:$G$8,7,FALSE),"")</f>
        <v/>
      </c>
      <c r="D25" s="146"/>
      <c r="E25" s="141"/>
      <c r="F25" s="13"/>
      <c r="G25" s="13"/>
      <c r="H25" s="44"/>
      <c r="I25" s="12"/>
    </row>
    <row r="26" spans="2:9" ht="12.75" customHeight="1" x14ac:dyDescent="0.2">
      <c r="B26" s="163">
        <f t="shared" si="0"/>
        <v>45886</v>
      </c>
      <c r="C26" s="140" t="str">
        <f>IFERROR(VLOOKUP(TEXT(WEEKDAY(B26),"dddd"),Afspraken!$A$4:$G$8,7,FALSE),"")</f>
        <v/>
      </c>
      <c r="D26" s="146"/>
      <c r="E26" s="141"/>
      <c r="F26" s="13"/>
      <c r="G26" s="13"/>
      <c r="H26" s="44"/>
      <c r="I26" s="12"/>
    </row>
    <row r="27" spans="2:9" ht="12.75" customHeight="1" x14ac:dyDescent="0.2">
      <c r="B27" s="163">
        <f t="shared" si="0"/>
        <v>45887</v>
      </c>
      <c r="C27" s="140">
        <f>IFERROR(VLOOKUP(TEXT(WEEKDAY(B27),"dddd"),Afspraken!$A$4:$G$8,7,FALSE),"")</f>
        <v>8.5</v>
      </c>
      <c r="D27" s="146" t="s">
        <v>110</v>
      </c>
      <c r="E27" s="141">
        <v>8.5</v>
      </c>
      <c r="F27" s="13"/>
      <c r="G27" s="13"/>
      <c r="H27" s="44"/>
      <c r="I27" s="12"/>
    </row>
    <row r="28" spans="2:9" ht="12.75" customHeight="1" x14ac:dyDescent="0.2">
      <c r="B28" s="163">
        <f t="shared" si="0"/>
        <v>45888</v>
      </c>
      <c r="C28" s="140">
        <f>IFERROR(VLOOKUP(TEXT(WEEKDAY(B28),"dddd"),Afspraken!$A$4:$G$8,7,FALSE),"")</f>
        <v>8.5</v>
      </c>
      <c r="D28" s="146" t="s">
        <v>110</v>
      </c>
      <c r="E28" s="141">
        <v>8.5</v>
      </c>
      <c r="F28" s="13"/>
      <c r="G28" s="13"/>
      <c r="H28" s="44"/>
      <c r="I28" s="12"/>
    </row>
    <row r="29" spans="2:9" ht="12.75" customHeight="1" x14ac:dyDescent="0.2">
      <c r="B29" s="163">
        <f t="shared" si="0"/>
        <v>45889</v>
      </c>
      <c r="C29" s="140">
        <f>IFERROR(VLOOKUP(TEXT(WEEKDAY(B29),"dddd"),Afspraken!$A$4:$G$8,7,FALSE),"")</f>
        <v>8.5</v>
      </c>
      <c r="D29" s="146"/>
      <c r="E29" s="143">
        <v>6.5</v>
      </c>
      <c r="F29" s="15"/>
      <c r="G29" s="15">
        <v>2</v>
      </c>
      <c r="H29" s="45"/>
      <c r="I29" s="12"/>
    </row>
    <row r="30" spans="2:9" ht="12.75" customHeight="1" x14ac:dyDescent="0.2">
      <c r="B30" s="163">
        <f t="shared" si="0"/>
        <v>45890</v>
      </c>
      <c r="C30" s="140">
        <f>IFERROR(VLOOKUP(TEXT(WEEKDAY(B30),"dddd"),Afspraken!$A$4:$G$8,7,FALSE),"")</f>
        <v>8.5</v>
      </c>
      <c r="D30" s="146"/>
      <c r="E30" s="143">
        <v>8.5</v>
      </c>
      <c r="F30" s="15"/>
      <c r="G30" s="15"/>
      <c r="H30" s="45"/>
      <c r="I30" s="12"/>
    </row>
    <row r="31" spans="2:9" ht="12.75" customHeight="1" x14ac:dyDescent="0.2">
      <c r="B31" s="163">
        <f t="shared" si="0"/>
        <v>45891</v>
      </c>
      <c r="C31" s="140">
        <f>IFERROR(VLOOKUP(TEXT(WEEKDAY(B31),"dddd"),Afspraken!$A$4:$G$8,7,FALSE),"")</f>
        <v>5.9999999999999982</v>
      </c>
      <c r="D31" s="146"/>
      <c r="E31" s="141">
        <v>6</v>
      </c>
      <c r="F31" s="10"/>
      <c r="G31" s="10"/>
      <c r="H31" s="43"/>
      <c r="I31" s="12"/>
    </row>
    <row r="32" spans="2:9" ht="12.75" customHeight="1" x14ac:dyDescent="0.2">
      <c r="B32" s="163">
        <f t="shared" si="0"/>
        <v>45892</v>
      </c>
      <c r="C32" s="140" t="str">
        <f>IFERROR(VLOOKUP(TEXT(WEEKDAY(B32),"dddd"),Afspraken!$A$4:$G$8,7,FALSE),"")</f>
        <v/>
      </c>
      <c r="D32" s="146"/>
      <c r="E32" s="141"/>
      <c r="F32" s="13"/>
      <c r="G32" s="13"/>
      <c r="H32" s="44"/>
      <c r="I32" s="12"/>
    </row>
    <row r="33" spans="2:10" ht="12.75" customHeight="1" x14ac:dyDescent="0.2">
      <c r="B33" s="163">
        <f t="shared" si="0"/>
        <v>45893</v>
      </c>
      <c r="C33" s="140" t="str">
        <f>IFERROR(VLOOKUP(TEXT(WEEKDAY(B33),"dddd"),Afspraken!$A$4:$G$8,7,FALSE),"")</f>
        <v/>
      </c>
      <c r="D33" s="146"/>
      <c r="E33" s="141"/>
      <c r="F33" s="13"/>
      <c r="G33" s="13"/>
      <c r="H33" s="44"/>
      <c r="I33" s="12"/>
    </row>
    <row r="34" spans="2:10" ht="12.75" customHeight="1" x14ac:dyDescent="0.2">
      <c r="B34" s="163">
        <f t="shared" si="0"/>
        <v>45894</v>
      </c>
      <c r="C34" s="140">
        <f>IFERROR(VLOOKUP(TEXT(WEEKDAY(B34),"dddd"),Afspraken!$A$4:$G$8,7,FALSE),"")</f>
        <v>8.5</v>
      </c>
      <c r="D34" s="146"/>
      <c r="E34" s="141">
        <v>7.25</v>
      </c>
      <c r="F34" s="13"/>
      <c r="G34" s="13">
        <v>1.25</v>
      </c>
      <c r="H34" s="44"/>
      <c r="I34" s="12"/>
    </row>
    <row r="35" spans="2:10" ht="12.75" customHeight="1" x14ac:dyDescent="0.2">
      <c r="B35" s="163">
        <f t="shared" si="0"/>
        <v>45895</v>
      </c>
      <c r="C35" s="140">
        <f>IFERROR(VLOOKUP(TEXT(WEEKDAY(B35),"dddd"),Afspraken!$A$4:$G$8,7,FALSE),"")</f>
        <v>8.5</v>
      </c>
      <c r="D35" s="146"/>
      <c r="E35" s="141">
        <v>7.75</v>
      </c>
      <c r="F35" s="13"/>
      <c r="G35" s="13">
        <v>0.75</v>
      </c>
      <c r="H35" s="44"/>
      <c r="I35" s="12"/>
    </row>
    <row r="36" spans="2:10" ht="12.75" customHeight="1" x14ac:dyDescent="0.2">
      <c r="B36" s="163">
        <f t="shared" si="0"/>
        <v>45896</v>
      </c>
      <c r="C36" s="140">
        <f>IFERROR(VLOOKUP(TEXT(WEEKDAY(B36),"dddd"),Afspraken!$A$4:$G$8,7,FALSE),"")</f>
        <v>8.5</v>
      </c>
      <c r="D36" s="146"/>
      <c r="E36" s="143">
        <v>8.5</v>
      </c>
      <c r="F36" s="15"/>
      <c r="G36" s="15"/>
      <c r="H36" s="45"/>
      <c r="I36" s="12"/>
    </row>
    <row r="37" spans="2:10" ht="12.75" customHeight="1" x14ac:dyDescent="0.2">
      <c r="B37" s="163">
        <f t="shared" si="0"/>
        <v>45897</v>
      </c>
      <c r="C37" s="140">
        <f>IFERROR(VLOOKUP(TEXT(WEEKDAY(B37),"dddd"),Afspraken!$A$4:$G$8,7,FALSE),"")</f>
        <v>8.5</v>
      </c>
      <c r="D37" s="146"/>
      <c r="E37" s="143">
        <v>8.5</v>
      </c>
      <c r="F37" s="15"/>
      <c r="G37" s="15"/>
      <c r="H37" s="45"/>
      <c r="I37" s="12"/>
    </row>
    <row r="38" spans="2:10" ht="12.75" customHeight="1" x14ac:dyDescent="0.2">
      <c r="B38" s="163">
        <f t="shared" si="0"/>
        <v>45898</v>
      </c>
      <c r="C38" s="140">
        <f>IFERROR(VLOOKUP(TEXT(WEEKDAY(B38),"dddd"),Afspraken!$A$4:$G$8,7,FALSE),"")</f>
        <v>5.9999999999999982</v>
      </c>
      <c r="D38" s="146"/>
      <c r="E38" s="144">
        <v>6</v>
      </c>
      <c r="F38" s="138"/>
      <c r="G38" s="138"/>
      <c r="H38" s="139"/>
      <c r="I38" s="12"/>
    </row>
    <row r="39" spans="2:10" ht="12.75" customHeight="1" x14ac:dyDescent="0.2">
      <c r="B39" s="163">
        <f>IF(MONTH(B37+2)&lt;&gt;$E$4,"",B37+2)</f>
        <v>45899</v>
      </c>
      <c r="C39" s="140" t="str">
        <f>IFERROR(VLOOKUP(TEXT(WEEKDAY(B39),"dddd"),Afspraken!$A$4:$G$8,7,FALSE),"")</f>
        <v/>
      </c>
      <c r="D39" s="146"/>
      <c r="E39" s="141"/>
      <c r="F39" s="13"/>
      <c r="G39" s="13"/>
      <c r="H39" s="44"/>
      <c r="I39" s="12"/>
    </row>
    <row r="40" spans="2:10" ht="12.75" customHeight="1" thickBot="1" x14ac:dyDescent="0.25">
      <c r="B40" s="164">
        <f>IF(MONTH(B37+3)&lt;&gt;$E$4,"",B37+3)</f>
        <v>45900</v>
      </c>
      <c r="C40" s="165" t="str">
        <f>IFERROR(VLOOKUP(TEXT(WEEKDAY(B40),"dddd"),Afspraken!$A$4:$G$8,7,FALSE),"")</f>
        <v/>
      </c>
      <c r="D40" s="166"/>
      <c r="E40" s="167"/>
      <c r="F40" s="168"/>
      <c r="G40" s="168"/>
      <c r="H40" s="169"/>
      <c r="I40" s="12"/>
    </row>
    <row r="41" spans="2:10" s="14" customFormat="1" ht="12.75" customHeight="1" thickBot="1" x14ac:dyDescent="0.25">
      <c r="B41" s="21"/>
      <c r="C41" s="20"/>
      <c r="D41" s="175"/>
      <c r="E41" s="22"/>
      <c r="F41" s="175"/>
      <c r="G41" s="175"/>
      <c r="H41" s="175"/>
      <c r="I41" s="174"/>
    </row>
    <row r="42" spans="2:10" ht="12.75" thickBot="1" x14ac:dyDescent="0.25">
      <c r="B42" s="177" t="s">
        <v>18</v>
      </c>
      <c r="C42" s="171">
        <f>SUM(C10:C40)</f>
        <v>166</v>
      </c>
      <c r="D42" s="172">
        <v>2</v>
      </c>
      <c r="E42" s="171">
        <f t="shared" ref="E42:H42" si="1">SUM(E10:E40)</f>
        <v>107.5</v>
      </c>
      <c r="F42" s="171">
        <f t="shared" si="1"/>
        <v>0</v>
      </c>
      <c r="G42" s="171">
        <f t="shared" si="1"/>
        <v>58.5</v>
      </c>
      <c r="H42" s="173">
        <f t="shared" si="1"/>
        <v>0</v>
      </c>
      <c r="I42" s="3"/>
      <c r="J42" s="8"/>
    </row>
    <row r="43" spans="2:10" x14ac:dyDescent="0.2">
      <c r="B43" s="6"/>
      <c r="C43" s="7"/>
      <c r="D43" s="176"/>
      <c r="E43" s="23"/>
      <c r="F43" s="176"/>
      <c r="G43" s="176"/>
      <c r="H43" s="176"/>
      <c r="I43" s="11"/>
      <c r="J43" s="8"/>
    </row>
    <row r="44" spans="2:10" x14ac:dyDescent="0.2">
      <c r="B44" s="6"/>
      <c r="C44" s="7"/>
      <c r="D44" s="16"/>
      <c r="E44" s="23"/>
      <c r="F44" s="16"/>
      <c r="G44" s="16"/>
      <c r="H44" s="16"/>
      <c r="I44" s="17"/>
      <c r="J44" s="8"/>
    </row>
    <row r="45" spans="2:10" x14ac:dyDescent="0.2">
      <c r="B45" s="9"/>
      <c r="D45" s="16"/>
      <c r="E45" s="4"/>
      <c r="F45" s="16"/>
      <c r="G45" s="16"/>
      <c r="H45" s="16"/>
      <c r="I45" s="17"/>
    </row>
    <row r="46" spans="2:10" x14ac:dyDescent="0.2">
      <c r="B46" s="322"/>
      <c r="C46" s="323"/>
      <c r="D46" s="4"/>
      <c r="E46" s="4"/>
      <c r="F46" s="4"/>
      <c r="G46" s="322"/>
      <c r="H46" s="322"/>
    </row>
    <row r="47" spans="2:10" x14ac:dyDescent="0.2">
      <c r="B47" s="2"/>
      <c r="C47" s="2"/>
      <c r="D47" s="2"/>
      <c r="E47" s="4"/>
      <c r="F47" s="2"/>
      <c r="G47" s="2"/>
      <c r="H47" s="2"/>
    </row>
    <row r="48" spans="2:10" x14ac:dyDescent="0.2">
      <c r="B48" s="2"/>
      <c r="C48" s="2"/>
      <c r="D48" s="2"/>
      <c r="E48" s="4"/>
      <c r="F48" s="2"/>
      <c r="G48" s="2"/>
      <c r="H48" s="2"/>
    </row>
    <row r="49" spans="2:9" x14ac:dyDescent="0.2">
      <c r="B49" s="2"/>
      <c r="C49" s="2"/>
      <c r="D49" s="2"/>
      <c r="E49" s="24"/>
      <c r="F49" s="2"/>
      <c r="G49" s="2"/>
      <c r="H49" s="2"/>
    </row>
    <row r="50" spans="2:9" x14ac:dyDescent="0.2">
      <c r="B50" s="9"/>
      <c r="C50" s="18"/>
      <c r="D50" s="18"/>
      <c r="E50" s="24"/>
      <c r="F50" s="18"/>
      <c r="G50" s="18"/>
      <c r="H50" s="18"/>
    </row>
    <row r="51" spans="2:9" x14ac:dyDescent="0.2">
      <c r="B51" s="9"/>
      <c r="C51" s="18"/>
      <c r="D51" s="18"/>
      <c r="E51" s="24"/>
      <c r="F51" s="18"/>
      <c r="G51" s="18"/>
      <c r="H51" s="18"/>
      <c r="I51" s="3"/>
    </row>
    <row r="52" spans="2:9" x14ac:dyDescent="0.2">
      <c r="B52" s="9"/>
      <c r="C52" s="18"/>
      <c r="D52" s="18"/>
      <c r="E52" s="24"/>
      <c r="F52" s="18"/>
      <c r="G52" s="18"/>
      <c r="H52" s="18"/>
      <c r="I52" s="3"/>
    </row>
    <row r="53" spans="2:9" x14ac:dyDescent="0.2">
      <c r="B53" s="9"/>
      <c r="C53" s="18"/>
      <c r="D53" s="18"/>
      <c r="F53" s="18"/>
      <c r="G53" s="18"/>
      <c r="H53" s="18"/>
      <c r="I53" s="3"/>
    </row>
  </sheetData>
  <mergeCells count="2">
    <mergeCell ref="B46:C46"/>
    <mergeCell ref="G46:H46"/>
  </mergeCells>
  <conditionalFormatting sqref="B10:H40">
    <cfRule type="expression" dxfId="4" priority="1">
      <formula>WEEKDAY($B10,2)&gt;=6</formula>
    </cfRule>
  </conditionalFormatting>
  <pageMargins left="0.70866141732283472" right="0.70866141732283472" top="0.74803149606299213" bottom="0.74803149606299213" header="0.31496062992125984" footer="0.31496062992125984"/>
  <pageSetup paperSize="9" scale="61"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J53"/>
  <sheetViews>
    <sheetView workbookViewId="0">
      <selection activeCell="C7" sqref="C7"/>
    </sheetView>
  </sheetViews>
  <sheetFormatPr defaultColWidth="13.42578125" defaultRowHeight="12" x14ac:dyDescent="0.2"/>
  <cols>
    <col min="1" max="1" width="8.7109375" style="3" customWidth="1"/>
    <col min="2" max="2" width="13.42578125" style="19"/>
    <col min="3" max="3" width="11.7109375" style="3" bestFit="1" customWidth="1"/>
    <col min="4" max="4" width="17.7109375" style="3" bestFit="1" customWidth="1"/>
    <col min="5" max="5" width="10.7109375" style="14" bestFit="1" customWidth="1"/>
    <col min="6" max="6" width="5.5703125" style="3" bestFit="1" customWidth="1"/>
    <col min="7" max="7" width="5.85546875" style="3" bestFit="1" customWidth="1"/>
    <col min="8" max="8" width="15.140625" style="3" bestFit="1" customWidth="1"/>
    <col min="9" max="9" width="15.140625" style="5" bestFit="1" customWidth="1"/>
    <col min="10" max="16384" width="13.42578125" style="3"/>
  </cols>
  <sheetData>
    <row r="1" spans="2:10" x14ac:dyDescent="0.2">
      <c r="D1" s="14"/>
      <c r="E1" s="3"/>
      <c r="H1" s="5"/>
      <c r="I1" s="3"/>
    </row>
    <row r="2" spans="2:10" x14ac:dyDescent="0.2">
      <c r="B2" s="1" t="s">
        <v>0</v>
      </c>
      <c r="C2" s="2"/>
      <c r="D2" s="4"/>
      <c r="E2" s="2"/>
      <c r="F2" s="2"/>
      <c r="G2" s="2"/>
      <c r="H2" s="2"/>
      <c r="I2" s="3"/>
    </row>
    <row r="3" spans="2:10" x14ac:dyDescent="0.2">
      <c r="B3" s="2"/>
      <c r="C3" s="2"/>
      <c r="D3" s="4"/>
      <c r="E3" s="2"/>
      <c r="F3" s="2"/>
      <c r="G3" s="2"/>
      <c r="H3" s="2"/>
      <c r="I3" s="3"/>
    </row>
    <row r="4" spans="2:10" x14ac:dyDescent="0.2">
      <c r="B4" s="4" t="s">
        <v>1</v>
      </c>
      <c r="C4" s="2" t="str">
        <f>IF(Verlofoverzicht!D2="","",Verlofoverzicht!D2)</f>
        <v>Maickel</v>
      </c>
      <c r="D4" s="4" t="s">
        <v>2</v>
      </c>
      <c r="E4" s="2">
        <v>9</v>
      </c>
      <c r="F4" s="4" t="s">
        <v>3</v>
      </c>
      <c r="G4" s="5">
        <f>Verlofoverzicht!$O$2</f>
        <v>2025</v>
      </c>
      <c r="H4" s="2"/>
      <c r="I4" s="3"/>
    </row>
    <row r="5" spans="2:10" ht="6" customHeight="1" x14ac:dyDescent="0.2">
      <c r="B5" s="6"/>
      <c r="C5" s="2"/>
      <c r="D5" s="4"/>
      <c r="E5" s="3"/>
      <c r="F5" s="2"/>
      <c r="G5" s="2"/>
      <c r="H5" s="2"/>
      <c r="I5" s="3"/>
    </row>
    <row r="6" spans="2:10" ht="12" customHeight="1" x14ac:dyDescent="0.2">
      <c r="B6" s="4" t="s">
        <v>5</v>
      </c>
      <c r="C6" s="5">
        <v>38</v>
      </c>
      <c r="D6" s="4" t="s">
        <v>6</v>
      </c>
      <c r="E6" s="2" t="s">
        <v>7</v>
      </c>
      <c r="F6" s="4"/>
      <c r="G6" s="8"/>
      <c r="H6" s="2"/>
      <c r="I6" s="3"/>
    </row>
    <row r="7" spans="2:10" ht="12" customHeight="1" thickBot="1" x14ac:dyDescent="0.25">
      <c r="B7" s="9"/>
      <c r="C7" s="2"/>
      <c r="D7" s="4"/>
      <c r="E7" s="2"/>
      <c r="F7" s="2"/>
      <c r="G7" s="2"/>
      <c r="H7" s="2"/>
      <c r="I7" s="3"/>
    </row>
    <row r="8" spans="2:10" s="7" customFormat="1" ht="12.75" thickBot="1" x14ac:dyDescent="0.25">
      <c r="B8" s="151" t="s">
        <v>8</v>
      </c>
      <c r="C8" s="152" t="s">
        <v>9</v>
      </c>
      <c r="D8" s="153" t="s">
        <v>20</v>
      </c>
      <c r="E8" s="152" t="s">
        <v>10</v>
      </c>
      <c r="F8" s="152" t="s">
        <v>11</v>
      </c>
      <c r="G8" s="152" t="s">
        <v>12</v>
      </c>
      <c r="H8" s="154" t="s">
        <v>59</v>
      </c>
    </row>
    <row r="9" spans="2:10" s="8" customFormat="1" ht="13.5" customHeight="1" thickBot="1" x14ac:dyDescent="0.25">
      <c r="B9" s="147"/>
      <c r="C9" s="148"/>
      <c r="D9" s="149" t="s">
        <v>73</v>
      </c>
      <c r="E9" s="148"/>
      <c r="F9" s="148"/>
      <c r="G9" s="148"/>
      <c r="H9" s="150"/>
    </row>
    <row r="10" spans="2:10" s="12" customFormat="1" ht="12.75" customHeight="1" x14ac:dyDescent="0.2">
      <c r="B10" s="157">
        <f>DATE(G4,E4,1)</f>
        <v>45901</v>
      </c>
      <c r="C10" s="158">
        <f>IFERROR(VLOOKUP(TEXT(WEEKDAY(B10),"dddd"),Afspraken!$A$4:$G$8,7,FALSE),"")</f>
        <v>8.5</v>
      </c>
      <c r="D10" s="159"/>
      <c r="E10" s="160">
        <v>8.5</v>
      </c>
      <c r="F10" s="161"/>
      <c r="G10" s="161"/>
      <c r="H10" s="162"/>
    </row>
    <row r="11" spans="2:10" ht="12.75" customHeight="1" x14ac:dyDescent="0.2">
      <c r="B11" s="163">
        <f>IF(MONTH(B10+1)&lt;&gt;$E$4,"",B10+1)</f>
        <v>45902</v>
      </c>
      <c r="C11" s="140">
        <f>IFERROR(VLOOKUP(TEXT(WEEKDAY(B11),"dddd"),Afspraken!$A$4:$G$8,7,FALSE),"")</f>
        <v>8.5</v>
      </c>
      <c r="D11" s="146"/>
      <c r="E11" s="141">
        <v>8.5</v>
      </c>
      <c r="F11" s="13"/>
      <c r="G11" s="13"/>
      <c r="H11" s="43"/>
      <c r="I11" s="12"/>
      <c r="J11" s="12"/>
    </row>
    <row r="12" spans="2:10" ht="12.75" customHeight="1" x14ac:dyDescent="0.2">
      <c r="B12" s="163">
        <f t="shared" ref="B12:B38" si="0">IF(MONTH(B11+1)&lt;&gt;$E$4,"",B11+1)</f>
        <v>45903</v>
      </c>
      <c r="C12" s="140">
        <f>IFERROR(VLOOKUP(TEXT(WEEKDAY(B12),"dddd"),Afspraken!$A$4:$G$8,7,FALSE),"")</f>
        <v>8.5</v>
      </c>
      <c r="D12" s="146"/>
      <c r="E12" s="141">
        <v>8.5</v>
      </c>
      <c r="F12" s="13"/>
      <c r="G12" s="13"/>
      <c r="H12" s="43"/>
      <c r="I12" s="12"/>
      <c r="J12" s="12"/>
    </row>
    <row r="13" spans="2:10" ht="12.75" customHeight="1" x14ac:dyDescent="0.2">
      <c r="B13" s="163">
        <f t="shared" si="0"/>
        <v>45904</v>
      </c>
      <c r="C13" s="140">
        <f>IFERROR(VLOOKUP(TEXT(WEEKDAY(B13),"dddd"),Afspraken!$A$4:$G$8,7,FALSE),"")</f>
        <v>8.5</v>
      </c>
      <c r="D13" s="146"/>
      <c r="E13" s="141">
        <v>8.5</v>
      </c>
      <c r="F13" s="13"/>
      <c r="G13" s="13"/>
      <c r="H13" s="43"/>
      <c r="I13" s="12"/>
      <c r="J13" s="12"/>
    </row>
    <row r="14" spans="2:10" ht="12.75" customHeight="1" x14ac:dyDescent="0.2">
      <c r="B14" s="163">
        <f t="shared" si="0"/>
        <v>45905</v>
      </c>
      <c r="C14" s="140">
        <f>IFERROR(VLOOKUP(TEXT(WEEKDAY(B14),"dddd"),Afspraken!$A$4:$G$8,7,FALSE),"")</f>
        <v>5.9999999999999982</v>
      </c>
      <c r="D14" s="146"/>
      <c r="E14" s="141"/>
      <c r="F14" s="13"/>
      <c r="G14" s="13">
        <v>6</v>
      </c>
      <c r="H14" s="43"/>
      <c r="I14" s="12"/>
      <c r="J14" s="12"/>
    </row>
    <row r="15" spans="2:10" ht="12.75" customHeight="1" x14ac:dyDescent="0.2">
      <c r="B15" s="163">
        <f t="shared" si="0"/>
        <v>45906</v>
      </c>
      <c r="C15" s="140" t="str">
        <f>IFERROR(VLOOKUP(TEXT(WEEKDAY(B15),"dddd"),Afspraken!$A$4:$G$8,7,FALSE),"")</f>
        <v/>
      </c>
      <c r="D15" s="146"/>
      <c r="E15" s="142"/>
      <c r="F15" s="13"/>
      <c r="G15" s="13"/>
      <c r="H15" s="44"/>
      <c r="I15" s="12"/>
      <c r="J15" s="12"/>
    </row>
    <row r="16" spans="2:10" ht="12.75" customHeight="1" x14ac:dyDescent="0.2">
      <c r="B16" s="163">
        <f t="shared" si="0"/>
        <v>45907</v>
      </c>
      <c r="C16" s="140" t="str">
        <f>IFERROR(VLOOKUP(TEXT(WEEKDAY(B16),"dddd"),Afspraken!$A$4:$G$8,7,FALSE),"")</f>
        <v/>
      </c>
      <c r="D16" s="146"/>
      <c r="E16" s="143"/>
      <c r="F16" s="15"/>
      <c r="G16" s="15"/>
      <c r="H16" s="45"/>
      <c r="I16" s="12"/>
    </row>
    <row r="17" spans="2:9" ht="12.75" customHeight="1" x14ac:dyDescent="0.2">
      <c r="B17" s="163">
        <f t="shared" si="0"/>
        <v>45908</v>
      </c>
      <c r="C17" s="140">
        <f>IFERROR(VLOOKUP(TEXT(WEEKDAY(B17),"dddd"),Afspraken!$A$4:$G$8,7,FALSE),"")</f>
        <v>8.5</v>
      </c>
      <c r="D17" s="146"/>
      <c r="E17" s="141">
        <v>8.5</v>
      </c>
      <c r="F17" s="10"/>
      <c r="G17" s="10"/>
      <c r="H17" s="43"/>
      <c r="I17" s="12"/>
    </row>
    <row r="18" spans="2:9" ht="12.75" customHeight="1" x14ac:dyDescent="0.2">
      <c r="B18" s="163">
        <f t="shared" si="0"/>
        <v>45909</v>
      </c>
      <c r="C18" s="140">
        <f>IFERROR(VLOOKUP(TEXT(WEEKDAY(B18),"dddd"),Afspraken!$A$4:$G$8,7,FALSE),"")</f>
        <v>8.5</v>
      </c>
      <c r="D18" s="146"/>
      <c r="E18" s="141">
        <v>8.5</v>
      </c>
      <c r="F18" s="13"/>
      <c r="G18" s="13"/>
      <c r="H18" s="43"/>
      <c r="I18" s="12"/>
    </row>
    <row r="19" spans="2:9" ht="12.75" customHeight="1" x14ac:dyDescent="0.2">
      <c r="B19" s="163">
        <f t="shared" si="0"/>
        <v>45910</v>
      </c>
      <c r="C19" s="140">
        <f>IFERROR(VLOOKUP(TEXT(WEEKDAY(B19),"dddd"),Afspraken!$A$4:$G$8,7,FALSE),"")</f>
        <v>8.5</v>
      </c>
      <c r="D19" s="146"/>
      <c r="E19" s="141">
        <v>8.5</v>
      </c>
      <c r="F19" s="13"/>
      <c r="G19" s="13"/>
      <c r="H19" s="43"/>
      <c r="I19" s="12"/>
    </row>
    <row r="20" spans="2:9" ht="12.75" customHeight="1" x14ac:dyDescent="0.2">
      <c r="B20" s="163">
        <f t="shared" si="0"/>
        <v>45911</v>
      </c>
      <c r="C20" s="140">
        <f>IFERROR(VLOOKUP(TEXT(WEEKDAY(B20),"dddd"),Afspraken!$A$4:$G$8,7,FALSE),"")</f>
        <v>8.5</v>
      </c>
      <c r="D20" s="146"/>
      <c r="E20" s="141">
        <v>8.5</v>
      </c>
      <c r="F20" s="13"/>
      <c r="G20" s="13"/>
      <c r="H20" s="43"/>
      <c r="I20" s="12"/>
    </row>
    <row r="21" spans="2:9" ht="12.75" customHeight="1" x14ac:dyDescent="0.2">
      <c r="B21" s="163">
        <f t="shared" si="0"/>
        <v>45912</v>
      </c>
      <c r="C21" s="140">
        <f>IFERROR(VLOOKUP(TEXT(WEEKDAY(B21),"dddd"),Afspraken!$A$4:$G$8,7,FALSE),"")</f>
        <v>5.9999999999999982</v>
      </c>
      <c r="D21" s="146"/>
      <c r="E21" s="141">
        <v>6</v>
      </c>
      <c r="F21" s="13"/>
      <c r="G21" s="13"/>
      <c r="H21" s="44"/>
      <c r="I21" s="12"/>
    </row>
    <row r="22" spans="2:9" ht="12.75" customHeight="1" x14ac:dyDescent="0.2">
      <c r="B22" s="163">
        <f t="shared" si="0"/>
        <v>45913</v>
      </c>
      <c r="C22" s="140" t="str">
        <f>IFERROR(VLOOKUP(TEXT(WEEKDAY(B22),"dddd"),Afspraken!$A$4:$G$8,7,FALSE),"")</f>
        <v/>
      </c>
      <c r="D22" s="146"/>
      <c r="E22" s="143"/>
      <c r="F22" s="15"/>
      <c r="G22" s="15"/>
      <c r="H22" s="45"/>
      <c r="I22" s="12"/>
    </row>
    <row r="23" spans="2:9" ht="12.75" customHeight="1" x14ac:dyDescent="0.2">
      <c r="B23" s="163">
        <f t="shared" si="0"/>
        <v>45914</v>
      </c>
      <c r="C23" s="140" t="str">
        <f>IFERROR(VLOOKUP(TEXT(WEEKDAY(B23),"dddd"),Afspraken!$A$4:$G$8,7,FALSE),"")</f>
        <v/>
      </c>
      <c r="D23" s="146"/>
      <c r="E23" s="143"/>
      <c r="F23" s="15"/>
      <c r="G23" s="15"/>
      <c r="H23" s="45"/>
      <c r="I23" s="12"/>
    </row>
    <row r="24" spans="2:9" ht="12.75" customHeight="1" x14ac:dyDescent="0.2">
      <c r="B24" s="163">
        <f t="shared" si="0"/>
        <v>45915</v>
      </c>
      <c r="C24" s="140">
        <f>IFERROR(VLOOKUP(TEXT(WEEKDAY(B24),"dddd"),Afspraken!$A$4:$G$8,7,FALSE),"")</f>
        <v>8.5</v>
      </c>
      <c r="D24" s="146"/>
      <c r="E24" s="141">
        <v>8.5</v>
      </c>
      <c r="F24" s="10"/>
      <c r="G24" s="10"/>
      <c r="H24" s="43"/>
      <c r="I24" s="12"/>
    </row>
    <row r="25" spans="2:9" ht="12.75" customHeight="1" x14ac:dyDescent="0.2">
      <c r="B25" s="163">
        <f t="shared" si="0"/>
        <v>45916</v>
      </c>
      <c r="C25" s="140">
        <f>IFERROR(VLOOKUP(TEXT(WEEKDAY(B25),"dddd"),Afspraken!$A$4:$G$8,7,FALSE),"")</f>
        <v>8.5</v>
      </c>
      <c r="D25" s="146"/>
      <c r="E25" s="141">
        <v>8.5</v>
      </c>
      <c r="F25" s="13"/>
      <c r="G25" s="13"/>
      <c r="H25" s="44"/>
      <c r="I25" s="12"/>
    </row>
    <row r="26" spans="2:9" ht="12.75" customHeight="1" x14ac:dyDescent="0.2">
      <c r="B26" s="163">
        <f t="shared" si="0"/>
        <v>45917</v>
      </c>
      <c r="C26" s="140">
        <f>IFERROR(VLOOKUP(TEXT(WEEKDAY(B26),"dddd"),Afspraken!$A$4:$G$8,7,FALSE),"")</f>
        <v>8.5</v>
      </c>
      <c r="D26" s="146"/>
      <c r="E26" s="141">
        <v>8.5</v>
      </c>
      <c r="F26" s="13"/>
      <c r="G26" s="13"/>
      <c r="H26" s="44"/>
      <c r="I26" s="12"/>
    </row>
    <row r="27" spans="2:9" ht="12.75" customHeight="1" x14ac:dyDescent="0.2">
      <c r="B27" s="163">
        <f t="shared" si="0"/>
        <v>45918</v>
      </c>
      <c r="C27" s="140">
        <f>IFERROR(VLOOKUP(TEXT(WEEKDAY(B27),"dddd"),Afspraken!$A$4:$G$8,7,FALSE),"")</f>
        <v>8.5</v>
      </c>
      <c r="D27" s="146"/>
      <c r="E27" s="141">
        <v>8.5</v>
      </c>
      <c r="F27" s="13"/>
      <c r="G27" s="13"/>
      <c r="H27" s="44"/>
      <c r="I27" s="12"/>
    </row>
    <row r="28" spans="2:9" ht="12.75" customHeight="1" x14ac:dyDescent="0.2">
      <c r="B28" s="163">
        <f t="shared" si="0"/>
        <v>45919</v>
      </c>
      <c r="C28" s="140">
        <f>IFERROR(VLOOKUP(TEXT(WEEKDAY(B28),"dddd"),Afspraken!$A$4:$G$8,7,FALSE),"")</f>
        <v>5.9999999999999982</v>
      </c>
      <c r="D28" s="146"/>
      <c r="E28" s="141">
        <v>6</v>
      </c>
      <c r="F28" s="13"/>
      <c r="G28" s="13"/>
      <c r="H28" s="44"/>
      <c r="I28" s="12"/>
    </row>
    <row r="29" spans="2:9" ht="12.75" customHeight="1" x14ac:dyDescent="0.2">
      <c r="B29" s="163">
        <f t="shared" si="0"/>
        <v>45920</v>
      </c>
      <c r="C29" s="140" t="str">
        <f>IFERROR(VLOOKUP(TEXT(WEEKDAY(B29),"dddd"),Afspraken!$A$4:$G$8,7,FALSE),"")</f>
        <v/>
      </c>
      <c r="D29" s="146"/>
      <c r="E29" s="143"/>
      <c r="F29" s="15"/>
      <c r="G29" s="15"/>
      <c r="H29" s="45"/>
      <c r="I29" s="12"/>
    </row>
    <row r="30" spans="2:9" ht="12.75" customHeight="1" x14ac:dyDescent="0.2">
      <c r="B30" s="163">
        <f t="shared" si="0"/>
        <v>45921</v>
      </c>
      <c r="C30" s="140" t="str">
        <f>IFERROR(VLOOKUP(TEXT(WEEKDAY(B30),"dddd"),Afspraken!$A$4:$G$8,7,FALSE),"")</f>
        <v/>
      </c>
      <c r="D30" s="146"/>
      <c r="E30" s="143"/>
      <c r="F30" s="15"/>
      <c r="G30" s="15"/>
      <c r="H30" s="45"/>
      <c r="I30" s="12"/>
    </row>
    <row r="31" spans="2:9" ht="12.75" customHeight="1" x14ac:dyDescent="0.2">
      <c r="B31" s="163">
        <f t="shared" si="0"/>
        <v>45922</v>
      </c>
      <c r="C31" s="140">
        <f>IFERROR(VLOOKUP(TEXT(WEEKDAY(B31),"dddd"),Afspraken!$A$4:$G$8,7,FALSE),"")</f>
        <v>8.5</v>
      </c>
      <c r="D31" s="146"/>
      <c r="E31" s="141">
        <v>8.5</v>
      </c>
      <c r="F31" s="10"/>
      <c r="G31" s="10"/>
      <c r="H31" s="43"/>
      <c r="I31" s="12"/>
    </row>
    <row r="32" spans="2:9" ht="12.75" customHeight="1" x14ac:dyDescent="0.2">
      <c r="B32" s="163">
        <f t="shared" si="0"/>
        <v>45923</v>
      </c>
      <c r="C32" s="140">
        <f>IFERROR(VLOOKUP(TEXT(WEEKDAY(B32),"dddd"),Afspraken!$A$4:$G$8,7,FALSE),"")</f>
        <v>8.5</v>
      </c>
      <c r="D32" s="146"/>
      <c r="E32" s="141">
        <v>8.5</v>
      </c>
      <c r="F32" s="13"/>
      <c r="G32" s="13"/>
      <c r="H32" s="44"/>
      <c r="I32" s="12"/>
    </row>
    <row r="33" spans="2:10" ht="12.75" customHeight="1" x14ac:dyDescent="0.2">
      <c r="B33" s="163">
        <f t="shared" si="0"/>
        <v>45924</v>
      </c>
      <c r="C33" s="140">
        <f>IFERROR(VLOOKUP(TEXT(WEEKDAY(B33),"dddd"),Afspraken!$A$4:$G$8,7,FALSE),"")</f>
        <v>8.5</v>
      </c>
      <c r="D33" s="146"/>
      <c r="E33" s="141">
        <v>8.5</v>
      </c>
      <c r="F33" s="13"/>
      <c r="G33" s="13"/>
      <c r="H33" s="44"/>
      <c r="I33" s="12"/>
    </row>
    <row r="34" spans="2:10" ht="12.75" customHeight="1" x14ac:dyDescent="0.2">
      <c r="B34" s="163">
        <f t="shared" si="0"/>
        <v>45925</v>
      </c>
      <c r="C34" s="140">
        <f>IFERROR(VLOOKUP(TEXT(WEEKDAY(B34),"dddd"),Afspraken!$A$4:$G$8,7,FALSE),"")</f>
        <v>8.5</v>
      </c>
      <c r="D34" s="146"/>
      <c r="E34" s="141">
        <v>8.5</v>
      </c>
      <c r="F34" s="13"/>
      <c r="G34" s="13"/>
      <c r="H34" s="44"/>
      <c r="I34" s="12"/>
    </row>
    <row r="35" spans="2:10" ht="12.75" customHeight="1" x14ac:dyDescent="0.2">
      <c r="B35" s="163">
        <f t="shared" si="0"/>
        <v>45926</v>
      </c>
      <c r="C35" s="140">
        <f>IFERROR(VLOOKUP(TEXT(WEEKDAY(B35),"dddd"),Afspraken!$A$4:$G$8,7,FALSE),"")</f>
        <v>5.9999999999999982</v>
      </c>
      <c r="D35" s="146"/>
      <c r="E35" s="141">
        <v>6</v>
      </c>
      <c r="F35" s="13"/>
      <c r="G35" s="13"/>
      <c r="H35" s="44"/>
      <c r="I35" s="12"/>
    </row>
    <row r="36" spans="2:10" ht="12.75" customHeight="1" x14ac:dyDescent="0.2">
      <c r="B36" s="163">
        <f t="shared" si="0"/>
        <v>45927</v>
      </c>
      <c r="C36" s="140" t="str">
        <f>IFERROR(VLOOKUP(TEXT(WEEKDAY(B36),"dddd"),Afspraken!$A$4:$G$8,7,FALSE),"")</f>
        <v/>
      </c>
      <c r="D36" s="146"/>
      <c r="E36" s="143"/>
      <c r="F36" s="15"/>
      <c r="G36" s="15"/>
      <c r="H36" s="45"/>
      <c r="I36" s="12"/>
    </row>
    <row r="37" spans="2:10" ht="12.75" customHeight="1" x14ac:dyDescent="0.2">
      <c r="B37" s="163">
        <f t="shared" si="0"/>
        <v>45928</v>
      </c>
      <c r="C37" s="140" t="str">
        <f>IFERROR(VLOOKUP(TEXT(WEEKDAY(B37),"dddd"),Afspraken!$A$4:$G$8,7,FALSE),"")</f>
        <v/>
      </c>
      <c r="D37" s="146"/>
      <c r="E37" s="143"/>
      <c r="F37" s="15"/>
      <c r="G37" s="15"/>
      <c r="H37" s="45"/>
      <c r="I37" s="12"/>
    </row>
    <row r="38" spans="2:10" ht="12.75" customHeight="1" x14ac:dyDescent="0.2">
      <c r="B38" s="163">
        <f t="shared" si="0"/>
        <v>45929</v>
      </c>
      <c r="C38" s="140">
        <f>IFERROR(VLOOKUP(TEXT(WEEKDAY(B38),"dddd"),Afspraken!$A$4:$G$8,7,FALSE),"")</f>
        <v>8.5</v>
      </c>
      <c r="D38" s="146"/>
      <c r="E38" s="144">
        <v>8.5</v>
      </c>
      <c r="F38" s="138"/>
      <c r="G38" s="138"/>
      <c r="H38" s="139"/>
      <c r="I38" s="12"/>
    </row>
    <row r="39" spans="2:10" ht="12.75" customHeight="1" x14ac:dyDescent="0.2">
      <c r="B39" s="163">
        <f>IF(MONTH(B37+2)&lt;&gt;$E$4,"",B37+2)</f>
        <v>45930</v>
      </c>
      <c r="C39" s="140">
        <f>IFERROR(VLOOKUP(TEXT(WEEKDAY(B39),"dddd"),Afspraken!$A$4:$G$8,7,FALSE),"")</f>
        <v>8.5</v>
      </c>
      <c r="D39" s="146"/>
      <c r="E39" s="141">
        <v>8.5</v>
      </c>
      <c r="F39" s="13"/>
      <c r="G39" s="13"/>
      <c r="H39" s="44"/>
      <c r="I39" s="12"/>
    </row>
    <row r="40" spans="2:10" ht="12.75" customHeight="1" thickBot="1" x14ac:dyDescent="0.25">
      <c r="B40" s="164" t="str">
        <f>IF(MONTH(B37+3)&lt;&gt;$E$4,"",B37+3)</f>
        <v/>
      </c>
      <c r="C40" s="165" t="str">
        <f>IFERROR(VLOOKUP(TEXT(WEEKDAY(B40),"dddd"),Afspraken!$A$4:$G$8,7,FALSE),"")</f>
        <v/>
      </c>
      <c r="D40" s="166"/>
      <c r="E40" s="167"/>
      <c r="F40" s="168"/>
      <c r="G40" s="168"/>
      <c r="H40" s="169"/>
      <c r="I40" s="12"/>
    </row>
    <row r="41" spans="2:10" s="14" customFormat="1" ht="12.75" customHeight="1" thickBot="1" x14ac:dyDescent="0.25">
      <c r="B41" s="21"/>
      <c r="C41" s="20"/>
      <c r="D41" s="175"/>
      <c r="E41" s="22"/>
      <c r="F41" s="175"/>
      <c r="G41" s="175"/>
      <c r="H41" s="175"/>
      <c r="I41" s="174"/>
    </row>
    <row r="42" spans="2:10" ht="12.75" thickBot="1" x14ac:dyDescent="0.25">
      <c r="B42" s="177" t="s">
        <v>18</v>
      </c>
      <c r="C42" s="171">
        <f>SUM(C10:C40)</f>
        <v>177</v>
      </c>
      <c r="D42" s="172">
        <f t="shared" ref="D42:H42" si="1">SUM(D10:D40)</f>
        <v>0</v>
      </c>
      <c r="E42" s="171">
        <f t="shared" si="1"/>
        <v>171</v>
      </c>
      <c r="F42" s="171">
        <f t="shared" si="1"/>
        <v>0</v>
      </c>
      <c r="G42" s="171">
        <f t="shared" si="1"/>
        <v>6</v>
      </c>
      <c r="H42" s="173">
        <f t="shared" si="1"/>
        <v>0</v>
      </c>
      <c r="I42" s="3"/>
      <c r="J42" s="8"/>
    </row>
    <row r="43" spans="2:10" x14ac:dyDescent="0.2">
      <c r="B43" s="6"/>
      <c r="C43" s="7"/>
      <c r="D43" s="176"/>
      <c r="E43" s="23"/>
      <c r="F43" s="176"/>
      <c r="G43" s="176"/>
      <c r="H43" s="176"/>
      <c r="I43" s="11"/>
      <c r="J43" s="8"/>
    </row>
    <row r="44" spans="2:10" x14ac:dyDescent="0.2">
      <c r="B44" s="6"/>
      <c r="C44" s="7"/>
      <c r="D44" s="16"/>
      <c r="E44" s="23"/>
      <c r="F44" s="16"/>
      <c r="G44" s="16"/>
      <c r="H44" s="16"/>
      <c r="I44" s="17"/>
      <c r="J44" s="8"/>
    </row>
    <row r="45" spans="2:10" x14ac:dyDescent="0.2">
      <c r="B45" s="9"/>
      <c r="D45" s="16"/>
      <c r="E45" s="4"/>
      <c r="F45" s="16"/>
      <c r="G45" s="16"/>
      <c r="H45" s="16"/>
      <c r="I45" s="17"/>
    </row>
    <row r="46" spans="2:10" x14ac:dyDescent="0.2">
      <c r="B46" s="322"/>
      <c r="C46" s="323"/>
      <c r="D46" s="4"/>
      <c r="E46" s="4"/>
      <c r="F46" s="4"/>
      <c r="G46" s="322"/>
      <c r="H46" s="322"/>
    </row>
    <row r="47" spans="2:10" x14ac:dyDescent="0.2">
      <c r="B47" s="2"/>
      <c r="C47" s="2"/>
      <c r="D47" s="2"/>
      <c r="E47" s="4"/>
      <c r="F47" s="2"/>
      <c r="G47" s="2"/>
      <c r="H47" s="2"/>
    </row>
    <row r="48" spans="2:10" x14ac:dyDescent="0.2">
      <c r="B48" s="2"/>
      <c r="C48" s="2"/>
      <c r="D48" s="2"/>
      <c r="E48" s="4"/>
      <c r="F48" s="2"/>
      <c r="G48" s="2"/>
      <c r="H48" s="2"/>
    </row>
    <row r="49" spans="2:9" x14ac:dyDescent="0.2">
      <c r="B49" s="2"/>
      <c r="C49" s="2"/>
      <c r="D49" s="2"/>
      <c r="E49" s="24"/>
      <c r="F49" s="2"/>
      <c r="G49" s="2"/>
      <c r="H49" s="2"/>
    </row>
    <row r="50" spans="2:9" x14ac:dyDescent="0.2">
      <c r="B50" s="9"/>
      <c r="C50" s="18"/>
      <c r="D50" s="18"/>
      <c r="E50" s="24"/>
      <c r="F50" s="18"/>
      <c r="G50" s="18"/>
      <c r="H50" s="18"/>
    </row>
    <row r="51" spans="2:9" x14ac:dyDescent="0.2">
      <c r="B51" s="9"/>
      <c r="C51" s="18"/>
      <c r="D51" s="18"/>
      <c r="E51" s="24"/>
      <c r="F51" s="18"/>
      <c r="G51" s="18"/>
      <c r="H51" s="18"/>
      <c r="I51" s="3"/>
    </row>
    <row r="52" spans="2:9" x14ac:dyDescent="0.2">
      <c r="B52" s="9"/>
      <c r="C52" s="18"/>
      <c r="D52" s="18"/>
      <c r="E52" s="24"/>
      <c r="F52" s="18"/>
      <c r="G52" s="18"/>
      <c r="H52" s="18"/>
      <c r="I52" s="3"/>
    </row>
    <row r="53" spans="2:9" x14ac:dyDescent="0.2">
      <c r="B53" s="9"/>
      <c r="C53" s="18"/>
      <c r="D53" s="18"/>
      <c r="F53" s="18"/>
      <c r="G53" s="18"/>
      <c r="H53" s="18"/>
      <c r="I53" s="3"/>
    </row>
  </sheetData>
  <mergeCells count="2">
    <mergeCell ref="B46:C46"/>
    <mergeCell ref="G46:H46"/>
  </mergeCells>
  <conditionalFormatting sqref="B10:H40">
    <cfRule type="expression" dxfId="3" priority="1">
      <formula>WEEKDAY($B10,2)&gt;=6</formula>
    </cfRule>
  </conditionalFormatting>
  <pageMargins left="0.7" right="0.7" top="0.75" bottom="0.75" header="0.3" footer="0.3"/>
  <pageSetup paperSize="9" scale="65"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J53"/>
  <sheetViews>
    <sheetView zoomScaleNormal="100" workbookViewId="0">
      <selection activeCell="C6" sqref="C6"/>
    </sheetView>
  </sheetViews>
  <sheetFormatPr defaultColWidth="13.42578125" defaultRowHeight="12" x14ac:dyDescent="0.2"/>
  <cols>
    <col min="1" max="1" width="8.7109375" style="3" customWidth="1"/>
    <col min="2" max="2" width="13.42578125" style="19" bestFit="1" customWidth="1"/>
    <col min="3" max="3" width="11.7109375" style="3" bestFit="1" customWidth="1"/>
    <col min="4" max="4" width="17.7109375" style="3" bestFit="1" customWidth="1"/>
    <col min="5" max="5" width="10.7109375" style="14" bestFit="1" customWidth="1"/>
    <col min="6" max="6" width="5.5703125" style="3" bestFit="1" customWidth="1"/>
    <col min="7" max="7" width="5.85546875" style="3" bestFit="1" customWidth="1"/>
    <col min="8" max="8" width="15.140625" style="3" bestFit="1" customWidth="1"/>
    <col min="9" max="9" width="15.140625" style="5" bestFit="1" customWidth="1"/>
    <col min="10" max="16384" width="13.42578125" style="3"/>
  </cols>
  <sheetData>
    <row r="1" spans="2:10" x14ac:dyDescent="0.2">
      <c r="D1" s="14"/>
      <c r="E1" s="3"/>
      <c r="H1" s="5"/>
      <c r="I1" s="3"/>
    </row>
    <row r="2" spans="2:10" x14ac:dyDescent="0.2">
      <c r="B2" s="1" t="s">
        <v>0</v>
      </c>
      <c r="C2" s="2"/>
      <c r="D2" s="4"/>
      <c r="E2" s="2"/>
      <c r="F2" s="2"/>
      <c r="G2" s="2"/>
      <c r="H2" s="2"/>
      <c r="I2" s="3"/>
    </row>
    <row r="3" spans="2:10" x14ac:dyDescent="0.2">
      <c r="B3" s="2"/>
      <c r="C3" s="2"/>
      <c r="D3" s="4"/>
      <c r="E3" s="2"/>
      <c r="F3" s="2"/>
      <c r="G3" s="2"/>
      <c r="H3" s="2"/>
      <c r="I3" s="3"/>
    </row>
    <row r="4" spans="2:10" x14ac:dyDescent="0.2">
      <c r="B4" s="4" t="s">
        <v>1</v>
      </c>
      <c r="C4" s="2" t="str">
        <f>IF(Verlofoverzicht!D2="","",Verlofoverzicht!D2)</f>
        <v>Maickel</v>
      </c>
      <c r="D4" s="4" t="s">
        <v>2</v>
      </c>
      <c r="E4" s="2">
        <v>10</v>
      </c>
      <c r="F4" s="4" t="s">
        <v>3</v>
      </c>
      <c r="G4" s="5">
        <f>Verlofoverzicht!$O$2</f>
        <v>2025</v>
      </c>
      <c r="H4" s="2"/>
      <c r="I4" s="3"/>
    </row>
    <row r="5" spans="2:10" ht="6" customHeight="1" x14ac:dyDescent="0.2">
      <c r="B5" s="6"/>
      <c r="C5" s="2"/>
      <c r="D5" s="4"/>
      <c r="E5" s="3"/>
      <c r="F5" s="2"/>
      <c r="G5" s="2"/>
      <c r="H5" s="2"/>
      <c r="I5" s="3"/>
    </row>
    <row r="6" spans="2:10" ht="12" customHeight="1" x14ac:dyDescent="0.2">
      <c r="B6" s="4" t="s">
        <v>5</v>
      </c>
      <c r="C6" s="5">
        <v>38</v>
      </c>
      <c r="D6" s="4" t="s">
        <v>6</v>
      </c>
      <c r="E6" s="2" t="s">
        <v>7</v>
      </c>
      <c r="F6" s="4"/>
      <c r="G6" s="8"/>
      <c r="H6" s="2"/>
      <c r="I6" s="3"/>
    </row>
    <row r="7" spans="2:10" ht="12" customHeight="1" thickBot="1" x14ac:dyDescent="0.25">
      <c r="B7" s="9"/>
      <c r="C7" s="2"/>
      <c r="D7" s="4"/>
      <c r="E7" s="2"/>
      <c r="F7" s="2"/>
      <c r="G7" s="2"/>
      <c r="H7" s="2"/>
      <c r="I7" s="3"/>
    </row>
    <row r="8" spans="2:10" s="7" customFormat="1" ht="12.75" thickBot="1" x14ac:dyDescent="0.25">
      <c r="B8" s="151" t="s">
        <v>8</v>
      </c>
      <c r="C8" s="152" t="s">
        <v>9</v>
      </c>
      <c r="D8" s="153" t="s">
        <v>20</v>
      </c>
      <c r="E8" s="152" t="s">
        <v>10</v>
      </c>
      <c r="F8" s="152" t="s">
        <v>11</v>
      </c>
      <c r="G8" s="152" t="s">
        <v>12</v>
      </c>
      <c r="H8" s="154" t="s">
        <v>59</v>
      </c>
    </row>
    <row r="9" spans="2:10" s="8" customFormat="1" ht="13.5" customHeight="1" thickBot="1" x14ac:dyDescent="0.25">
      <c r="B9" s="147"/>
      <c r="C9" s="148"/>
      <c r="D9" s="149" t="s">
        <v>73</v>
      </c>
      <c r="E9" s="148"/>
      <c r="F9" s="148"/>
      <c r="G9" s="148"/>
      <c r="H9" s="150"/>
    </row>
    <row r="10" spans="2:10" s="12" customFormat="1" ht="12.75" customHeight="1" x14ac:dyDescent="0.2">
      <c r="B10" s="157">
        <f>DATE(G4,E4,1)</f>
        <v>45931</v>
      </c>
      <c r="C10" s="158">
        <f>IFERROR(VLOOKUP(TEXT(WEEKDAY(B10),"dddd"),Afspraken!$A$4:$G$8,7,FALSE),"")</f>
        <v>8.5</v>
      </c>
      <c r="D10" s="159"/>
      <c r="E10" s="160">
        <v>8.5</v>
      </c>
      <c r="F10" s="161"/>
      <c r="G10" s="161"/>
      <c r="H10" s="162"/>
    </row>
    <row r="11" spans="2:10" ht="12.75" customHeight="1" x14ac:dyDescent="0.2">
      <c r="B11" s="163">
        <f>IF(MONTH(B10+1)&lt;&gt;$E$4,"",B10+1)</f>
        <v>45932</v>
      </c>
      <c r="C11" s="140">
        <f>IFERROR(VLOOKUP(TEXT(WEEKDAY(B11),"dddd"),Afspraken!$A$4:$G$8,7,FALSE),"")</f>
        <v>8.5</v>
      </c>
      <c r="D11" s="146"/>
      <c r="E11" s="141">
        <v>8.5</v>
      </c>
      <c r="F11" s="13"/>
      <c r="G11" s="13"/>
      <c r="H11" s="43"/>
      <c r="I11" s="12"/>
      <c r="J11" s="12"/>
    </row>
    <row r="12" spans="2:10" ht="12.75" customHeight="1" x14ac:dyDescent="0.2">
      <c r="B12" s="163">
        <f t="shared" ref="B12:B38" si="0">IF(MONTH(B11+1)&lt;&gt;$E$4,"",B11+1)</f>
        <v>45933</v>
      </c>
      <c r="C12" s="140">
        <f>IFERROR(VLOOKUP(TEXT(WEEKDAY(B12),"dddd"),Afspraken!$A$4:$G$8,7,FALSE),"")</f>
        <v>5.9999999999999982</v>
      </c>
      <c r="D12" s="146"/>
      <c r="E12" s="141"/>
      <c r="F12" s="13"/>
      <c r="G12" s="13">
        <v>6</v>
      </c>
      <c r="H12" s="43"/>
      <c r="I12" s="12"/>
      <c r="J12" s="12"/>
    </row>
    <row r="13" spans="2:10" ht="12.75" customHeight="1" x14ac:dyDescent="0.2">
      <c r="B13" s="163">
        <f t="shared" si="0"/>
        <v>45934</v>
      </c>
      <c r="C13" s="140" t="str">
        <f>IFERROR(VLOOKUP(TEXT(WEEKDAY(B13),"dddd"),Afspraken!$A$4:$G$8,7,FALSE),"")</f>
        <v/>
      </c>
      <c r="D13" s="146"/>
      <c r="E13" s="141"/>
      <c r="F13" s="13"/>
      <c r="G13" s="13"/>
      <c r="H13" s="43"/>
      <c r="I13" s="12"/>
      <c r="J13" s="12"/>
    </row>
    <row r="14" spans="2:10" ht="12.75" customHeight="1" x14ac:dyDescent="0.2">
      <c r="B14" s="163">
        <f t="shared" si="0"/>
        <v>45935</v>
      </c>
      <c r="C14" s="140" t="str">
        <f>IFERROR(VLOOKUP(TEXT(WEEKDAY(B14),"dddd"),Afspraken!$A$4:$G$8,7,FALSE),"")</f>
        <v/>
      </c>
      <c r="D14" s="146"/>
      <c r="E14" s="141"/>
      <c r="F14" s="13"/>
      <c r="G14" s="13"/>
      <c r="H14" s="43"/>
      <c r="I14" s="12"/>
      <c r="J14" s="12"/>
    </row>
    <row r="15" spans="2:10" ht="12.75" customHeight="1" x14ac:dyDescent="0.2">
      <c r="B15" s="163">
        <f t="shared" si="0"/>
        <v>45936</v>
      </c>
      <c r="C15" s="140">
        <f>IFERROR(VLOOKUP(TEXT(WEEKDAY(B15),"dddd"),Afspraken!$A$4:$G$8,7,FALSE),"")</f>
        <v>8.5</v>
      </c>
      <c r="D15" s="146"/>
      <c r="E15" s="142"/>
      <c r="F15" s="13"/>
      <c r="G15" s="13"/>
      <c r="H15" s="44"/>
      <c r="I15" s="12"/>
      <c r="J15" s="12"/>
    </row>
    <row r="16" spans="2:10" ht="12.75" customHeight="1" x14ac:dyDescent="0.2">
      <c r="B16" s="163">
        <f t="shared" si="0"/>
        <v>45937</v>
      </c>
      <c r="C16" s="140">
        <f>IFERROR(VLOOKUP(TEXT(WEEKDAY(B16),"dddd"),Afspraken!$A$4:$G$8,7,FALSE),"")</f>
        <v>8.5</v>
      </c>
      <c r="D16" s="146"/>
      <c r="E16" s="143"/>
      <c r="F16" s="15"/>
      <c r="G16" s="15"/>
      <c r="H16" s="45"/>
      <c r="I16" s="12"/>
    </row>
    <row r="17" spans="2:9" ht="12.75" customHeight="1" x14ac:dyDescent="0.2">
      <c r="B17" s="163">
        <f t="shared" si="0"/>
        <v>45938</v>
      </c>
      <c r="C17" s="140">
        <f>IFERROR(VLOOKUP(TEXT(WEEKDAY(B17),"dddd"),Afspraken!$A$4:$G$8,7,FALSE),"")</f>
        <v>8.5</v>
      </c>
      <c r="D17" s="146"/>
      <c r="E17" s="141"/>
      <c r="F17" s="10"/>
      <c r="G17" s="10"/>
      <c r="H17" s="43"/>
      <c r="I17" s="12"/>
    </row>
    <row r="18" spans="2:9" ht="12.75" customHeight="1" x14ac:dyDescent="0.2">
      <c r="B18" s="163">
        <f t="shared" si="0"/>
        <v>45939</v>
      </c>
      <c r="C18" s="140">
        <f>IFERROR(VLOOKUP(TEXT(WEEKDAY(B18),"dddd"),Afspraken!$A$4:$G$8,7,FALSE),"")</f>
        <v>8.5</v>
      </c>
      <c r="D18" s="146"/>
      <c r="E18" s="141"/>
      <c r="F18" s="13"/>
      <c r="G18" s="13"/>
      <c r="H18" s="43"/>
      <c r="I18" s="12"/>
    </row>
    <row r="19" spans="2:9" ht="12.75" customHeight="1" x14ac:dyDescent="0.2">
      <c r="B19" s="163">
        <f t="shared" si="0"/>
        <v>45940</v>
      </c>
      <c r="C19" s="140">
        <f>IFERROR(VLOOKUP(TEXT(WEEKDAY(B19),"dddd"),Afspraken!$A$4:$G$8,7,FALSE),"")</f>
        <v>5.9999999999999982</v>
      </c>
      <c r="D19" s="146"/>
      <c r="E19" s="141"/>
      <c r="F19" s="13"/>
      <c r="G19" s="13"/>
      <c r="H19" s="43"/>
      <c r="I19" s="12"/>
    </row>
    <row r="20" spans="2:9" ht="12.75" customHeight="1" x14ac:dyDescent="0.2">
      <c r="B20" s="163">
        <f t="shared" si="0"/>
        <v>45941</v>
      </c>
      <c r="C20" s="140" t="str">
        <f>IFERROR(VLOOKUP(TEXT(WEEKDAY(B20),"dddd"),Afspraken!$A$4:$G$8,7,FALSE),"")</f>
        <v/>
      </c>
      <c r="D20" s="146"/>
      <c r="E20" s="141"/>
      <c r="F20" s="13"/>
      <c r="G20" s="13"/>
      <c r="H20" s="43"/>
      <c r="I20" s="12"/>
    </row>
    <row r="21" spans="2:9" ht="12.75" customHeight="1" x14ac:dyDescent="0.2">
      <c r="B21" s="163">
        <f t="shared" si="0"/>
        <v>45942</v>
      </c>
      <c r="C21" s="140" t="str">
        <f>IFERROR(VLOOKUP(TEXT(WEEKDAY(B21),"dddd"),Afspraken!$A$4:$G$8,7,FALSE),"")</f>
        <v/>
      </c>
      <c r="D21" s="146"/>
      <c r="E21" s="141"/>
      <c r="F21" s="13"/>
      <c r="G21" s="13"/>
      <c r="H21" s="44"/>
      <c r="I21" s="12"/>
    </row>
    <row r="22" spans="2:9" ht="12.75" customHeight="1" x14ac:dyDescent="0.2">
      <c r="B22" s="163">
        <f t="shared" si="0"/>
        <v>45943</v>
      </c>
      <c r="C22" s="140">
        <f>IFERROR(VLOOKUP(TEXT(WEEKDAY(B22),"dddd"),Afspraken!$A$4:$G$8,7,FALSE),"")</f>
        <v>8.5</v>
      </c>
      <c r="D22" s="146"/>
      <c r="E22" s="143"/>
      <c r="F22" s="15"/>
      <c r="G22" s="15"/>
      <c r="H22" s="45"/>
      <c r="I22" s="12"/>
    </row>
    <row r="23" spans="2:9" ht="12.75" customHeight="1" x14ac:dyDescent="0.2">
      <c r="B23" s="163">
        <f t="shared" si="0"/>
        <v>45944</v>
      </c>
      <c r="C23" s="140">
        <f>IFERROR(VLOOKUP(TEXT(WEEKDAY(B23),"dddd"),Afspraken!$A$4:$G$8,7,FALSE),"")</f>
        <v>8.5</v>
      </c>
      <c r="D23" s="146"/>
      <c r="E23" s="143"/>
      <c r="F23" s="15"/>
      <c r="G23" s="15"/>
      <c r="H23" s="45"/>
      <c r="I23" s="12"/>
    </row>
    <row r="24" spans="2:9" ht="12.75" customHeight="1" x14ac:dyDescent="0.2">
      <c r="B24" s="163">
        <f t="shared" si="0"/>
        <v>45945</v>
      </c>
      <c r="C24" s="140">
        <f>IFERROR(VLOOKUP(TEXT(WEEKDAY(B24),"dddd"),Afspraken!$A$4:$G$8,7,FALSE),"")</f>
        <v>8.5</v>
      </c>
      <c r="D24" s="146"/>
      <c r="E24" s="141"/>
      <c r="F24" s="10"/>
      <c r="G24" s="10"/>
      <c r="H24" s="43"/>
      <c r="I24" s="12"/>
    </row>
    <row r="25" spans="2:9" ht="12.75" customHeight="1" x14ac:dyDescent="0.2">
      <c r="B25" s="163">
        <f t="shared" si="0"/>
        <v>45946</v>
      </c>
      <c r="C25" s="140">
        <f>IFERROR(VLOOKUP(TEXT(WEEKDAY(B25),"dddd"),Afspraken!$A$4:$G$8,7,FALSE),"")</f>
        <v>8.5</v>
      </c>
      <c r="D25" s="146"/>
      <c r="E25" s="141"/>
      <c r="F25" s="13"/>
      <c r="G25" s="13"/>
      <c r="H25" s="44"/>
      <c r="I25" s="12"/>
    </row>
    <row r="26" spans="2:9" ht="12.75" customHeight="1" x14ac:dyDescent="0.2">
      <c r="B26" s="163">
        <f t="shared" si="0"/>
        <v>45947</v>
      </c>
      <c r="C26" s="140">
        <f>IFERROR(VLOOKUP(TEXT(WEEKDAY(B26),"dddd"),Afspraken!$A$4:$G$8,7,FALSE),"")</f>
        <v>5.9999999999999982</v>
      </c>
      <c r="D26" s="146"/>
      <c r="E26" s="141"/>
      <c r="F26" s="13"/>
      <c r="G26" s="13"/>
      <c r="H26" s="44"/>
      <c r="I26" s="12"/>
    </row>
    <row r="27" spans="2:9" ht="12.75" customHeight="1" x14ac:dyDescent="0.2">
      <c r="B27" s="163">
        <f t="shared" si="0"/>
        <v>45948</v>
      </c>
      <c r="C27" s="140" t="str">
        <f>IFERROR(VLOOKUP(TEXT(WEEKDAY(B27),"dddd"),Afspraken!$A$4:$G$8,7,FALSE),"")</f>
        <v/>
      </c>
      <c r="D27" s="146"/>
      <c r="E27" s="141"/>
      <c r="F27" s="13"/>
      <c r="G27" s="13"/>
      <c r="H27" s="44"/>
      <c r="I27" s="12"/>
    </row>
    <row r="28" spans="2:9" ht="12.75" customHeight="1" x14ac:dyDescent="0.2">
      <c r="B28" s="163">
        <f t="shared" si="0"/>
        <v>45949</v>
      </c>
      <c r="C28" s="140" t="str">
        <f>IFERROR(VLOOKUP(TEXT(WEEKDAY(B28),"dddd"),Afspraken!$A$4:$G$8,7,FALSE),"")</f>
        <v/>
      </c>
      <c r="D28" s="146"/>
      <c r="E28" s="141"/>
      <c r="F28" s="13"/>
      <c r="G28" s="13"/>
      <c r="H28" s="44"/>
      <c r="I28" s="12"/>
    </row>
    <row r="29" spans="2:9" ht="12.75" customHeight="1" x14ac:dyDescent="0.2">
      <c r="B29" s="163">
        <f t="shared" si="0"/>
        <v>45950</v>
      </c>
      <c r="C29" s="140">
        <f>IFERROR(VLOOKUP(TEXT(WEEKDAY(B29),"dddd"),Afspraken!$A$4:$G$8,7,FALSE),"")</f>
        <v>8.5</v>
      </c>
      <c r="D29" s="146"/>
      <c r="E29" s="143"/>
      <c r="F29" s="15"/>
      <c r="G29" s="15"/>
      <c r="H29" s="45"/>
      <c r="I29" s="12"/>
    </row>
    <row r="30" spans="2:9" ht="12.75" customHeight="1" x14ac:dyDescent="0.2">
      <c r="B30" s="163">
        <f t="shared" si="0"/>
        <v>45951</v>
      </c>
      <c r="C30" s="140">
        <f>IFERROR(VLOOKUP(TEXT(WEEKDAY(B30),"dddd"),Afspraken!$A$4:$G$8,7,FALSE),"")</f>
        <v>8.5</v>
      </c>
      <c r="D30" s="146"/>
      <c r="E30" s="143"/>
      <c r="F30" s="15"/>
      <c r="G30" s="15"/>
      <c r="H30" s="45"/>
      <c r="I30" s="12"/>
    </row>
    <row r="31" spans="2:9" ht="12.75" customHeight="1" x14ac:dyDescent="0.2">
      <c r="B31" s="163">
        <f t="shared" si="0"/>
        <v>45952</v>
      </c>
      <c r="C31" s="140">
        <f>IFERROR(VLOOKUP(TEXT(WEEKDAY(B31),"dddd"),Afspraken!$A$4:$G$8,7,FALSE),"")</f>
        <v>8.5</v>
      </c>
      <c r="D31" s="146"/>
      <c r="E31" s="141"/>
      <c r="F31" s="10"/>
      <c r="G31" s="10"/>
      <c r="H31" s="43"/>
      <c r="I31" s="12"/>
    </row>
    <row r="32" spans="2:9" ht="12.75" customHeight="1" x14ac:dyDescent="0.2">
      <c r="B32" s="163">
        <f t="shared" si="0"/>
        <v>45953</v>
      </c>
      <c r="C32" s="140">
        <f>IFERROR(VLOOKUP(TEXT(WEEKDAY(B32),"dddd"),Afspraken!$A$4:$G$8,7,FALSE),"")</f>
        <v>8.5</v>
      </c>
      <c r="D32" s="146"/>
      <c r="E32" s="141"/>
      <c r="F32" s="13"/>
      <c r="G32" s="13"/>
      <c r="H32" s="44"/>
      <c r="I32" s="12"/>
    </row>
    <row r="33" spans="2:10" ht="12.75" customHeight="1" x14ac:dyDescent="0.2">
      <c r="B33" s="163">
        <f t="shared" si="0"/>
        <v>45954</v>
      </c>
      <c r="C33" s="140">
        <f>IFERROR(VLOOKUP(TEXT(WEEKDAY(B33),"dddd"),Afspraken!$A$4:$G$8,7,FALSE),"")</f>
        <v>5.9999999999999982</v>
      </c>
      <c r="D33" s="146"/>
      <c r="E33" s="141"/>
      <c r="F33" s="13"/>
      <c r="G33" s="13"/>
      <c r="H33" s="44"/>
      <c r="I33" s="12"/>
    </row>
    <row r="34" spans="2:10" ht="12.75" customHeight="1" x14ac:dyDescent="0.2">
      <c r="B34" s="163">
        <f t="shared" si="0"/>
        <v>45955</v>
      </c>
      <c r="C34" s="140" t="str">
        <f>IFERROR(VLOOKUP(TEXT(WEEKDAY(B34),"dddd"),Afspraken!$A$4:$G$8,7,FALSE),"")</f>
        <v/>
      </c>
      <c r="D34" s="146"/>
      <c r="E34" s="141"/>
      <c r="F34" s="13"/>
      <c r="G34" s="13"/>
      <c r="H34" s="44"/>
      <c r="I34" s="12"/>
    </row>
    <row r="35" spans="2:10" ht="12.75" customHeight="1" x14ac:dyDescent="0.2">
      <c r="B35" s="163">
        <f t="shared" si="0"/>
        <v>45956</v>
      </c>
      <c r="C35" s="140" t="str">
        <f>IFERROR(VLOOKUP(TEXT(WEEKDAY(B35),"dddd"),Afspraken!$A$4:$G$8,7,FALSE),"")</f>
        <v/>
      </c>
      <c r="D35" s="146"/>
      <c r="E35" s="141"/>
      <c r="F35" s="13"/>
      <c r="G35" s="13"/>
      <c r="H35" s="44"/>
      <c r="I35" s="12"/>
    </row>
    <row r="36" spans="2:10" ht="12.75" customHeight="1" x14ac:dyDescent="0.2">
      <c r="B36" s="163">
        <f t="shared" si="0"/>
        <v>45957</v>
      </c>
      <c r="C36" s="140">
        <f>IFERROR(VLOOKUP(TEXT(WEEKDAY(B36),"dddd"),Afspraken!$A$4:$G$8,7,FALSE),"")</f>
        <v>8.5</v>
      </c>
      <c r="D36" s="146"/>
      <c r="E36" s="143"/>
      <c r="F36" s="15"/>
      <c r="G36" s="15"/>
      <c r="H36" s="45"/>
      <c r="I36" s="12"/>
    </row>
    <row r="37" spans="2:10" ht="12.75" customHeight="1" x14ac:dyDescent="0.2">
      <c r="B37" s="163">
        <f t="shared" si="0"/>
        <v>45958</v>
      </c>
      <c r="C37" s="140">
        <f>IFERROR(VLOOKUP(TEXT(WEEKDAY(B37),"dddd"),Afspraken!$A$4:$G$8,7,FALSE),"")</f>
        <v>8.5</v>
      </c>
      <c r="D37" s="146"/>
      <c r="E37" s="143"/>
      <c r="F37" s="15"/>
      <c r="G37" s="15"/>
      <c r="H37" s="45"/>
      <c r="I37" s="12"/>
    </row>
    <row r="38" spans="2:10" ht="12.75" customHeight="1" x14ac:dyDescent="0.2">
      <c r="B38" s="163">
        <f t="shared" si="0"/>
        <v>45959</v>
      </c>
      <c r="C38" s="140">
        <f>IFERROR(VLOOKUP(TEXT(WEEKDAY(B38),"dddd"),Afspraken!$A$4:$G$8,7,FALSE),"")</f>
        <v>8.5</v>
      </c>
      <c r="D38" s="146"/>
      <c r="E38" s="144"/>
      <c r="F38" s="138"/>
      <c r="G38" s="138"/>
      <c r="H38" s="139"/>
      <c r="I38" s="12"/>
    </row>
    <row r="39" spans="2:10" ht="12.75" customHeight="1" x14ac:dyDescent="0.2">
      <c r="B39" s="163">
        <f>IF(MONTH(B37+2)&lt;&gt;$E$4,"",B37+2)</f>
        <v>45960</v>
      </c>
      <c r="C39" s="140">
        <f>IFERROR(VLOOKUP(TEXT(WEEKDAY(B39),"dddd"),Afspraken!$A$4:$G$8,7,FALSE),"")</f>
        <v>8.5</v>
      </c>
      <c r="D39" s="146"/>
      <c r="E39" s="141"/>
      <c r="F39" s="13"/>
      <c r="G39" s="13"/>
      <c r="H39" s="44"/>
      <c r="I39" s="12"/>
    </row>
    <row r="40" spans="2:10" ht="12.75" customHeight="1" thickBot="1" x14ac:dyDescent="0.25">
      <c r="B40" s="164">
        <f>IF(MONTH(B37+3)&lt;&gt;$E$4,"",B37+3)</f>
        <v>45961</v>
      </c>
      <c r="C40" s="165">
        <f>IFERROR(VLOOKUP(TEXT(WEEKDAY(B40),"dddd"),Afspraken!$A$4:$G$8,7,FALSE),"")</f>
        <v>5.9999999999999982</v>
      </c>
      <c r="D40" s="166"/>
      <c r="E40" s="167"/>
      <c r="F40" s="168"/>
      <c r="G40" s="168"/>
      <c r="H40" s="169"/>
      <c r="I40" s="12"/>
    </row>
    <row r="41" spans="2:10" s="14" customFormat="1" ht="12.75" customHeight="1" thickBot="1" x14ac:dyDescent="0.25">
      <c r="B41" s="21"/>
      <c r="C41" s="20"/>
      <c r="D41" s="175"/>
      <c r="E41" s="22"/>
      <c r="F41" s="175"/>
      <c r="G41" s="175"/>
      <c r="H41" s="175"/>
      <c r="I41" s="174"/>
    </row>
    <row r="42" spans="2:10" ht="12.75" thickBot="1" x14ac:dyDescent="0.25">
      <c r="B42" s="177" t="s">
        <v>18</v>
      </c>
      <c r="C42" s="171">
        <f>SUM(C10:C40)</f>
        <v>183</v>
      </c>
      <c r="D42" s="172">
        <f t="shared" ref="D42:H42" si="1">SUM(D10:D40)</f>
        <v>0</v>
      </c>
      <c r="E42" s="171">
        <f t="shared" si="1"/>
        <v>17</v>
      </c>
      <c r="F42" s="171">
        <f t="shared" si="1"/>
        <v>0</v>
      </c>
      <c r="G42" s="171">
        <f t="shared" si="1"/>
        <v>6</v>
      </c>
      <c r="H42" s="173">
        <f t="shared" si="1"/>
        <v>0</v>
      </c>
      <c r="I42" s="3"/>
      <c r="J42" s="8"/>
    </row>
    <row r="43" spans="2:10" x14ac:dyDescent="0.2">
      <c r="B43" s="6"/>
      <c r="C43" s="7"/>
      <c r="D43" s="176"/>
      <c r="E43" s="23"/>
      <c r="F43" s="176"/>
      <c r="G43" s="176"/>
      <c r="H43" s="176"/>
      <c r="I43" s="11"/>
      <c r="J43" s="8"/>
    </row>
    <row r="44" spans="2:10" x14ac:dyDescent="0.2">
      <c r="B44" s="6"/>
      <c r="C44" s="7"/>
      <c r="D44" s="16"/>
      <c r="E44" s="23"/>
      <c r="F44" s="16"/>
      <c r="G44" s="16"/>
      <c r="H44" s="16"/>
      <c r="I44" s="17"/>
      <c r="J44" s="8"/>
    </row>
    <row r="45" spans="2:10" x14ac:dyDescent="0.2">
      <c r="B45" s="9"/>
      <c r="D45" s="16"/>
      <c r="E45" s="4"/>
      <c r="F45" s="16"/>
      <c r="G45" s="16"/>
      <c r="H45" s="16"/>
      <c r="I45" s="17"/>
    </row>
    <row r="46" spans="2:10" x14ac:dyDescent="0.2">
      <c r="B46" s="322"/>
      <c r="C46" s="323"/>
      <c r="D46" s="4"/>
      <c r="E46" s="4"/>
      <c r="F46" s="4"/>
      <c r="G46" s="322"/>
      <c r="H46" s="322"/>
    </row>
    <row r="47" spans="2:10" x14ac:dyDescent="0.2">
      <c r="B47" s="322"/>
      <c r="C47" s="323"/>
      <c r="D47" s="4"/>
      <c r="E47" s="4"/>
      <c r="F47" s="4"/>
      <c r="G47" s="322"/>
      <c r="H47" s="322"/>
    </row>
    <row r="48" spans="2:10" x14ac:dyDescent="0.2">
      <c r="B48" s="2"/>
      <c r="C48" s="2"/>
      <c r="D48" s="2"/>
      <c r="E48" s="4"/>
      <c r="F48" s="2"/>
      <c r="G48" s="2"/>
      <c r="H48" s="2"/>
    </row>
    <row r="49" spans="2:9" x14ac:dyDescent="0.2">
      <c r="B49" s="2"/>
      <c r="C49" s="2"/>
      <c r="D49" s="2"/>
      <c r="E49" s="24"/>
      <c r="F49" s="2"/>
      <c r="G49" s="2"/>
      <c r="H49" s="2"/>
    </row>
    <row r="50" spans="2:9" x14ac:dyDescent="0.2">
      <c r="B50" s="9"/>
      <c r="C50" s="18"/>
      <c r="D50" s="18"/>
      <c r="E50" s="24"/>
      <c r="F50" s="18"/>
      <c r="G50" s="18"/>
      <c r="H50" s="18"/>
    </row>
    <row r="51" spans="2:9" x14ac:dyDescent="0.2">
      <c r="B51" s="9"/>
      <c r="C51" s="18"/>
      <c r="D51" s="18"/>
      <c r="E51" s="24"/>
      <c r="F51" s="18"/>
      <c r="G51" s="18"/>
      <c r="H51" s="18"/>
      <c r="I51" s="3"/>
    </row>
    <row r="52" spans="2:9" x14ac:dyDescent="0.2">
      <c r="B52" s="9"/>
      <c r="C52" s="18"/>
      <c r="D52" s="18"/>
      <c r="E52" s="24"/>
      <c r="F52" s="18"/>
      <c r="G52" s="18"/>
      <c r="H52" s="18"/>
      <c r="I52" s="3"/>
    </row>
    <row r="53" spans="2:9" x14ac:dyDescent="0.2">
      <c r="B53" s="9"/>
      <c r="C53" s="18"/>
      <c r="D53" s="18"/>
      <c r="F53" s="18"/>
      <c r="G53" s="18"/>
      <c r="H53" s="18"/>
      <c r="I53" s="3"/>
    </row>
  </sheetData>
  <mergeCells count="4">
    <mergeCell ref="B47:C47"/>
    <mergeCell ref="G47:H47"/>
    <mergeCell ref="B46:C46"/>
    <mergeCell ref="G46:H46"/>
  </mergeCells>
  <conditionalFormatting sqref="B10:H40">
    <cfRule type="expression" dxfId="2" priority="1">
      <formula>WEEKDAY($B10,2)&gt;=6</formula>
    </cfRule>
  </conditionalFormatting>
  <pageMargins left="0.70866141732283472" right="0.70866141732283472" top="0.74803149606299213" bottom="0.74803149606299213" header="0.31496062992125984" footer="0.31496062992125984"/>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J53"/>
  <sheetViews>
    <sheetView zoomScaleNormal="100" workbookViewId="0">
      <selection activeCell="C6" sqref="C6"/>
    </sheetView>
  </sheetViews>
  <sheetFormatPr defaultColWidth="13.42578125" defaultRowHeight="12" x14ac:dyDescent="0.2"/>
  <cols>
    <col min="1" max="1" width="8.7109375" style="3" customWidth="1"/>
    <col min="2" max="2" width="13.42578125" style="19"/>
    <col min="3" max="3" width="11.7109375" style="3" bestFit="1" customWidth="1"/>
    <col min="4" max="4" width="17.7109375" style="3" bestFit="1" customWidth="1"/>
    <col min="5" max="5" width="10.7109375" style="14" bestFit="1" customWidth="1"/>
    <col min="6" max="6" width="5.5703125" style="3" bestFit="1" customWidth="1"/>
    <col min="7" max="7" width="5.85546875" style="3" bestFit="1" customWidth="1"/>
    <col min="8" max="8" width="15.140625" style="3" bestFit="1" customWidth="1"/>
    <col min="9" max="9" width="15.140625" style="5" bestFit="1" customWidth="1"/>
    <col min="10" max="16384" width="13.42578125" style="3"/>
  </cols>
  <sheetData>
    <row r="1" spans="2:10" x14ac:dyDescent="0.2">
      <c r="D1" s="14"/>
      <c r="E1" s="3"/>
      <c r="H1" s="5"/>
      <c r="I1" s="3"/>
    </row>
    <row r="2" spans="2:10" x14ac:dyDescent="0.2">
      <c r="B2" s="1" t="s">
        <v>0</v>
      </c>
      <c r="C2" s="2"/>
      <c r="D2" s="4"/>
      <c r="E2" s="2"/>
      <c r="F2" s="2"/>
      <c r="G2" s="2"/>
      <c r="H2" s="2"/>
      <c r="I2" s="3"/>
    </row>
    <row r="3" spans="2:10" x14ac:dyDescent="0.2">
      <c r="B3" s="2"/>
      <c r="C3" s="2"/>
      <c r="D3" s="4"/>
      <c r="E3" s="2"/>
      <c r="F3" s="2"/>
      <c r="G3" s="2"/>
      <c r="H3" s="2"/>
      <c r="I3" s="3"/>
    </row>
    <row r="4" spans="2:10" x14ac:dyDescent="0.2">
      <c r="B4" s="4" t="s">
        <v>1</v>
      </c>
      <c r="C4" s="2" t="str">
        <f>IF(Verlofoverzicht!D2="","",Verlofoverzicht!D2)</f>
        <v>Maickel</v>
      </c>
      <c r="D4" s="4" t="s">
        <v>2</v>
      </c>
      <c r="E4" s="2">
        <v>11</v>
      </c>
      <c r="F4" s="4" t="s">
        <v>3</v>
      </c>
      <c r="G4" s="5">
        <f>Verlofoverzicht!$O$2</f>
        <v>2025</v>
      </c>
      <c r="H4" s="2"/>
      <c r="I4" s="3"/>
    </row>
    <row r="5" spans="2:10" ht="6" customHeight="1" x14ac:dyDescent="0.2">
      <c r="B5" s="6"/>
      <c r="C5" s="2"/>
      <c r="D5" s="4"/>
      <c r="E5" s="3"/>
      <c r="F5" s="2"/>
      <c r="G5" s="2"/>
      <c r="H5" s="2"/>
      <c r="I5" s="3"/>
    </row>
    <row r="6" spans="2:10" ht="12" customHeight="1" x14ac:dyDescent="0.2">
      <c r="B6" s="4" t="s">
        <v>5</v>
      </c>
      <c r="C6" s="5">
        <v>38</v>
      </c>
      <c r="D6" s="4" t="s">
        <v>6</v>
      </c>
      <c r="E6" s="2" t="s">
        <v>7</v>
      </c>
      <c r="F6" s="4"/>
      <c r="G6" s="8"/>
      <c r="H6" s="2"/>
      <c r="I6" s="3"/>
    </row>
    <row r="7" spans="2:10" ht="12" customHeight="1" thickBot="1" x14ac:dyDescent="0.25">
      <c r="B7" s="9"/>
      <c r="C7" s="2"/>
      <c r="D7" s="4"/>
      <c r="E7" s="2"/>
      <c r="F7" s="2"/>
      <c r="G7" s="2"/>
      <c r="H7" s="2"/>
      <c r="I7" s="3"/>
    </row>
    <row r="8" spans="2:10" s="7" customFormat="1" ht="12.75" thickBot="1" x14ac:dyDescent="0.25">
      <c r="B8" s="151" t="s">
        <v>8</v>
      </c>
      <c r="C8" s="152" t="s">
        <v>9</v>
      </c>
      <c r="D8" s="153" t="s">
        <v>20</v>
      </c>
      <c r="E8" s="152" t="s">
        <v>10</v>
      </c>
      <c r="F8" s="152" t="s">
        <v>11</v>
      </c>
      <c r="G8" s="152" t="s">
        <v>12</v>
      </c>
      <c r="H8" s="154" t="s">
        <v>59</v>
      </c>
    </row>
    <row r="9" spans="2:10" s="8" customFormat="1" ht="13.5" customHeight="1" thickBot="1" x14ac:dyDescent="0.25">
      <c r="B9" s="147"/>
      <c r="C9" s="148"/>
      <c r="D9" s="149" t="s">
        <v>73</v>
      </c>
      <c r="E9" s="148"/>
      <c r="F9" s="148"/>
      <c r="G9" s="148"/>
      <c r="H9" s="150"/>
    </row>
    <row r="10" spans="2:10" s="12" customFormat="1" ht="12.75" customHeight="1" x14ac:dyDescent="0.2">
      <c r="B10" s="157">
        <f>DATE(G4,E4,1)</f>
        <v>45962</v>
      </c>
      <c r="C10" s="158" t="str">
        <f>IFERROR(VLOOKUP(TEXT(WEEKDAY(B10),"dddd"),Afspraken!$A$4:$G$8,7,FALSE),"")</f>
        <v/>
      </c>
      <c r="D10" s="159"/>
      <c r="E10" s="160"/>
      <c r="F10" s="161"/>
      <c r="G10" s="161"/>
      <c r="H10" s="162"/>
    </row>
    <row r="11" spans="2:10" ht="12.75" customHeight="1" x14ac:dyDescent="0.2">
      <c r="B11" s="163">
        <f>IF(MONTH(B10+1)&lt;&gt;$E$4,"",B10+1)</f>
        <v>45963</v>
      </c>
      <c r="C11" s="140" t="str">
        <f>IFERROR(VLOOKUP(TEXT(WEEKDAY(B11),"dddd"),Afspraken!$A$4:$G$8,7,FALSE),"")</f>
        <v/>
      </c>
      <c r="D11" s="146"/>
      <c r="E11" s="141"/>
      <c r="F11" s="13"/>
      <c r="G11" s="13"/>
      <c r="H11" s="43"/>
      <c r="I11" s="12"/>
      <c r="J11" s="12"/>
    </row>
    <row r="12" spans="2:10" ht="12.75" customHeight="1" x14ac:dyDescent="0.2">
      <c r="B12" s="163">
        <f t="shared" ref="B12:B38" si="0">IF(MONTH(B11+1)&lt;&gt;$E$4,"",B11+1)</f>
        <v>45964</v>
      </c>
      <c r="C12" s="140">
        <f>IFERROR(VLOOKUP(TEXT(WEEKDAY(B12),"dddd"),Afspraken!$A$4:$G$8,7,FALSE),"")</f>
        <v>8.5</v>
      </c>
      <c r="D12" s="146"/>
      <c r="E12" s="141"/>
      <c r="F12" s="13"/>
      <c r="G12" s="13"/>
      <c r="H12" s="43"/>
      <c r="I12" s="12"/>
      <c r="J12" s="12"/>
    </row>
    <row r="13" spans="2:10" ht="12.75" customHeight="1" x14ac:dyDescent="0.2">
      <c r="B13" s="163">
        <f t="shared" si="0"/>
        <v>45965</v>
      </c>
      <c r="C13" s="140">
        <f>IFERROR(VLOOKUP(TEXT(WEEKDAY(B13),"dddd"),Afspraken!$A$4:$G$8,7,FALSE),"")</f>
        <v>8.5</v>
      </c>
      <c r="D13" s="146"/>
      <c r="E13" s="141"/>
      <c r="F13" s="13"/>
      <c r="G13" s="13"/>
      <c r="H13" s="43"/>
      <c r="I13" s="12"/>
      <c r="J13" s="12"/>
    </row>
    <row r="14" spans="2:10" ht="12.75" customHeight="1" x14ac:dyDescent="0.2">
      <c r="B14" s="163">
        <f t="shared" si="0"/>
        <v>45966</v>
      </c>
      <c r="C14" s="140">
        <f>IFERROR(VLOOKUP(TEXT(WEEKDAY(B14),"dddd"),Afspraken!$A$4:$G$8,7,FALSE),"")</f>
        <v>8.5</v>
      </c>
      <c r="D14" s="146"/>
      <c r="E14" s="141"/>
      <c r="F14" s="13"/>
      <c r="G14" s="13"/>
      <c r="H14" s="43"/>
      <c r="I14" s="12"/>
      <c r="J14" s="12"/>
    </row>
    <row r="15" spans="2:10" ht="12.75" customHeight="1" x14ac:dyDescent="0.2">
      <c r="B15" s="163">
        <f t="shared" si="0"/>
        <v>45967</v>
      </c>
      <c r="C15" s="140">
        <f>IFERROR(VLOOKUP(TEXT(WEEKDAY(B15),"dddd"),Afspraken!$A$4:$G$8,7,FALSE),"")</f>
        <v>8.5</v>
      </c>
      <c r="D15" s="146"/>
      <c r="E15" s="142"/>
      <c r="F15" s="13"/>
      <c r="G15" s="13"/>
      <c r="H15" s="44"/>
      <c r="I15" s="12"/>
      <c r="J15" s="12"/>
    </row>
    <row r="16" spans="2:10" ht="12.75" customHeight="1" x14ac:dyDescent="0.2">
      <c r="B16" s="163">
        <f t="shared" si="0"/>
        <v>45968</v>
      </c>
      <c r="C16" s="140">
        <f>IFERROR(VLOOKUP(TEXT(WEEKDAY(B16),"dddd"),Afspraken!$A$4:$G$8,7,FALSE),"")</f>
        <v>5.9999999999999982</v>
      </c>
      <c r="D16" s="146"/>
      <c r="E16" s="143"/>
      <c r="F16" s="15"/>
      <c r="G16" s="15"/>
      <c r="H16" s="45"/>
      <c r="I16" s="12"/>
    </row>
    <row r="17" spans="2:9" ht="12.75" customHeight="1" x14ac:dyDescent="0.2">
      <c r="B17" s="163">
        <f t="shared" si="0"/>
        <v>45969</v>
      </c>
      <c r="C17" s="140" t="str">
        <f>IFERROR(VLOOKUP(TEXT(WEEKDAY(B17),"dddd"),Afspraken!$A$4:$G$8,7,FALSE),"")</f>
        <v/>
      </c>
      <c r="D17" s="146"/>
      <c r="E17" s="141"/>
      <c r="F17" s="10"/>
      <c r="G17" s="10"/>
      <c r="H17" s="43"/>
      <c r="I17" s="12"/>
    </row>
    <row r="18" spans="2:9" ht="12.75" customHeight="1" x14ac:dyDescent="0.2">
      <c r="B18" s="163">
        <f t="shared" si="0"/>
        <v>45970</v>
      </c>
      <c r="C18" s="140" t="str">
        <f>IFERROR(VLOOKUP(TEXT(WEEKDAY(B18),"dddd"),Afspraken!$A$4:$G$8,7,FALSE),"")</f>
        <v/>
      </c>
      <c r="D18" s="146"/>
      <c r="E18" s="141"/>
      <c r="F18" s="13"/>
      <c r="G18" s="13"/>
      <c r="H18" s="43"/>
      <c r="I18" s="12"/>
    </row>
    <row r="19" spans="2:9" ht="12.75" customHeight="1" x14ac:dyDescent="0.2">
      <c r="B19" s="163">
        <f t="shared" si="0"/>
        <v>45971</v>
      </c>
      <c r="C19" s="140">
        <f>IFERROR(VLOOKUP(TEXT(WEEKDAY(B19),"dddd"),Afspraken!$A$4:$G$8,7,FALSE),"")</f>
        <v>8.5</v>
      </c>
      <c r="D19" s="146"/>
      <c r="E19" s="141"/>
      <c r="F19" s="13"/>
      <c r="G19" s="13"/>
      <c r="H19" s="43"/>
      <c r="I19" s="12"/>
    </row>
    <row r="20" spans="2:9" ht="12.75" customHeight="1" x14ac:dyDescent="0.2">
      <c r="B20" s="163">
        <f t="shared" si="0"/>
        <v>45972</v>
      </c>
      <c r="C20" s="140">
        <f>IFERROR(VLOOKUP(TEXT(WEEKDAY(B20),"dddd"),Afspraken!$A$4:$G$8,7,FALSE),"")</f>
        <v>8.5</v>
      </c>
      <c r="D20" s="146"/>
      <c r="E20" s="141"/>
      <c r="F20" s="13"/>
      <c r="G20" s="13"/>
      <c r="H20" s="43"/>
      <c r="I20" s="12"/>
    </row>
    <row r="21" spans="2:9" ht="12.75" customHeight="1" x14ac:dyDescent="0.2">
      <c r="B21" s="163">
        <f t="shared" si="0"/>
        <v>45973</v>
      </c>
      <c r="C21" s="140">
        <f>IFERROR(VLOOKUP(TEXT(WEEKDAY(B21),"dddd"),Afspraken!$A$4:$G$8,7,FALSE),"")</f>
        <v>8.5</v>
      </c>
      <c r="D21" s="146"/>
      <c r="E21" s="141"/>
      <c r="F21" s="13"/>
      <c r="G21" s="13"/>
      <c r="H21" s="44"/>
      <c r="I21" s="12"/>
    </row>
    <row r="22" spans="2:9" ht="12.75" customHeight="1" x14ac:dyDescent="0.2">
      <c r="B22" s="163">
        <f t="shared" si="0"/>
        <v>45974</v>
      </c>
      <c r="C22" s="140">
        <f>IFERROR(VLOOKUP(TEXT(WEEKDAY(B22),"dddd"),Afspraken!$A$4:$G$8,7,FALSE),"")</f>
        <v>8.5</v>
      </c>
      <c r="D22" s="146"/>
      <c r="E22" s="143"/>
      <c r="F22" s="15"/>
      <c r="G22" s="15"/>
      <c r="H22" s="45"/>
      <c r="I22" s="12"/>
    </row>
    <row r="23" spans="2:9" ht="12.75" customHeight="1" x14ac:dyDescent="0.2">
      <c r="B23" s="163">
        <f t="shared" si="0"/>
        <v>45975</v>
      </c>
      <c r="C23" s="140">
        <f>IFERROR(VLOOKUP(TEXT(WEEKDAY(B23),"dddd"),Afspraken!$A$4:$G$8,7,FALSE),"")</f>
        <v>5.9999999999999982</v>
      </c>
      <c r="D23" s="146"/>
      <c r="E23" s="143"/>
      <c r="F23" s="15"/>
      <c r="G23" s="15"/>
      <c r="H23" s="45"/>
      <c r="I23" s="12"/>
    </row>
    <row r="24" spans="2:9" ht="12.75" customHeight="1" x14ac:dyDescent="0.2">
      <c r="B24" s="163">
        <f t="shared" si="0"/>
        <v>45976</v>
      </c>
      <c r="C24" s="140" t="str">
        <f>IFERROR(VLOOKUP(TEXT(WEEKDAY(B24),"dddd"),Afspraken!$A$4:$G$8,7,FALSE),"")</f>
        <v/>
      </c>
      <c r="D24" s="146"/>
      <c r="E24" s="141"/>
      <c r="F24" s="10"/>
      <c r="G24" s="10"/>
      <c r="H24" s="43"/>
      <c r="I24" s="12"/>
    </row>
    <row r="25" spans="2:9" ht="12.75" customHeight="1" x14ac:dyDescent="0.2">
      <c r="B25" s="163">
        <f t="shared" si="0"/>
        <v>45977</v>
      </c>
      <c r="C25" s="140" t="str">
        <f>IFERROR(VLOOKUP(TEXT(WEEKDAY(B25),"dddd"),Afspraken!$A$4:$G$8,7,FALSE),"")</f>
        <v/>
      </c>
      <c r="D25" s="146"/>
      <c r="E25" s="141"/>
      <c r="F25" s="13"/>
      <c r="G25" s="13"/>
      <c r="H25" s="44"/>
      <c r="I25" s="12"/>
    </row>
    <row r="26" spans="2:9" ht="12.75" customHeight="1" x14ac:dyDescent="0.2">
      <c r="B26" s="163">
        <f t="shared" si="0"/>
        <v>45978</v>
      </c>
      <c r="C26" s="140">
        <f>IFERROR(VLOOKUP(TEXT(WEEKDAY(B26),"dddd"),Afspraken!$A$4:$G$8,7,FALSE),"")</f>
        <v>8.5</v>
      </c>
      <c r="D26" s="146"/>
      <c r="E26" s="141"/>
      <c r="F26" s="13"/>
      <c r="G26" s="13"/>
      <c r="H26" s="44"/>
      <c r="I26" s="12"/>
    </row>
    <row r="27" spans="2:9" ht="12.75" customHeight="1" x14ac:dyDescent="0.2">
      <c r="B27" s="163">
        <f t="shared" si="0"/>
        <v>45979</v>
      </c>
      <c r="C27" s="140">
        <f>IFERROR(VLOOKUP(TEXT(WEEKDAY(B27),"dddd"),Afspraken!$A$4:$G$8,7,FALSE),"")</f>
        <v>8.5</v>
      </c>
      <c r="D27" s="146"/>
      <c r="E27" s="141"/>
      <c r="F27" s="13"/>
      <c r="G27" s="13"/>
      <c r="H27" s="44"/>
      <c r="I27" s="12"/>
    </row>
    <row r="28" spans="2:9" ht="12.75" customHeight="1" x14ac:dyDescent="0.2">
      <c r="B28" s="163">
        <f t="shared" si="0"/>
        <v>45980</v>
      </c>
      <c r="C28" s="140">
        <f>IFERROR(VLOOKUP(TEXT(WEEKDAY(B28),"dddd"),Afspraken!$A$4:$G$8,7,FALSE),"")</f>
        <v>8.5</v>
      </c>
      <c r="D28" s="146"/>
      <c r="E28" s="141"/>
      <c r="F28" s="13"/>
      <c r="G28" s="13"/>
      <c r="H28" s="44"/>
      <c r="I28" s="12"/>
    </row>
    <row r="29" spans="2:9" ht="12.75" customHeight="1" x14ac:dyDescent="0.2">
      <c r="B29" s="163">
        <f t="shared" si="0"/>
        <v>45981</v>
      </c>
      <c r="C29" s="140">
        <f>IFERROR(VLOOKUP(TEXT(WEEKDAY(B29),"dddd"),Afspraken!$A$4:$G$8,7,FALSE),"")</f>
        <v>8.5</v>
      </c>
      <c r="D29" s="146"/>
      <c r="E29" s="143"/>
      <c r="F29" s="15"/>
      <c r="G29" s="15"/>
      <c r="H29" s="45"/>
      <c r="I29" s="12"/>
    </row>
    <row r="30" spans="2:9" ht="12.75" customHeight="1" x14ac:dyDescent="0.2">
      <c r="B30" s="163">
        <f t="shared" si="0"/>
        <v>45982</v>
      </c>
      <c r="C30" s="140">
        <f>IFERROR(VLOOKUP(TEXT(WEEKDAY(B30),"dddd"),Afspraken!$A$4:$G$8,7,FALSE),"")</f>
        <v>5.9999999999999982</v>
      </c>
      <c r="D30" s="146"/>
      <c r="E30" s="143"/>
      <c r="F30" s="15"/>
      <c r="G30" s="15"/>
      <c r="H30" s="45"/>
      <c r="I30" s="12"/>
    </row>
    <row r="31" spans="2:9" ht="12.75" customHeight="1" x14ac:dyDescent="0.2">
      <c r="B31" s="163">
        <f t="shared" si="0"/>
        <v>45983</v>
      </c>
      <c r="C31" s="140" t="str">
        <f>IFERROR(VLOOKUP(TEXT(WEEKDAY(B31),"dddd"),Afspraken!$A$4:$G$8,7,FALSE),"")</f>
        <v/>
      </c>
      <c r="D31" s="146"/>
      <c r="E31" s="141"/>
      <c r="F31" s="10"/>
      <c r="G31" s="10"/>
      <c r="H31" s="43"/>
      <c r="I31" s="12"/>
    </row>
    <row r="32" spans="2:9" ht="12.75" customHeight="1" x14ac:dyDescent="0.2">
      <c r="B32" s="163">
        <f t="shared" si="0"/>
        <v>45984</v>
      </c>
      <c r="C32" s="140" t="str">
        <f>IFERROR(VLOOKUP(TEXT(WEEKDAY(B32),"dddd"),Afspraken!$A$4:$G$8,7,FALSE),"")</f>
        <v/>
      </c>
      <c r="D32" s="146"/>
      <c r="E32" s="141"/>
      <c r="F32" s="13"/>
      <c r="G32" s="13"/>
      <c r="H32" s="44"/>
      <c r="I32" s="12"/>
    </row>
    <row r="33" spans="2:10" ht="12.75" customHeight="1" x14ac:dyDescent="0.2">
      <c r="B33" s="163">
        <f t="shared" si="0"/>
        <v>45985</v>
      </c>
      <c r="C33" s="140">
        <f>IFERROR(VLOOKUP(TEXT(WEEKDAY(B33),"dddd"),Afspraken!$A$4:$G$8,7,FALSE),"")</f>
        <v>8.5</v>
      </c>
      <c r="D33" s="146"/>
      <c r="E33" s="141"/>
      <c r="F33" s="13"/>
      <c r="G33" s="13"/>
      <c r="H33" s="44"/>
      <c r="I33" s="12"/>
    </row>
    <row r="34" spans="2:10" ht="12.75" customHeight="1" x14ac:dyDescent="0.2">
      <c r="B34" s="163">
        <f t="shared" si="0"/>
        <v>45986</v>
      </c>
      <c r="C34" s="140">
        <f>IFERROR(VLOOKUP(TEXT(WEEKDAY(B34),"dddd"),Afspraken!$A$4:$G$8,7,FALSE),"")</f>
        <v>8.5</v>
      </c>
      <c r="D34" s="146"/>
      <c r="E34" s="141"/>
      <c r="F34" s="13"/>
      <c r="G34" s="13"/>
      <c r="H34" s="44"/>
      <c r="I34" s="12"/>
    </row>
    <row r="35" spans="2:10" ht="12.75" customHeight="1" x14ac:dyDescent="0.2">
      <c r="B35" s="163">
        <f t="shared" si="0"/>
        <v>45987</v>
      </c>
      <c r="C35" s="140">
        <f>IFERROR(VLOOKUP(TEXT(WEEKDAY(B35),"dddd"),Afspraken!$A$4:$G$8,7,FALSE),"")</f>
        <v>8.5</v>
      </c>
      <c r="D35" s="146"/>
      <c r="E35" s="141"/>
      <c r="F35" s="13"/>
      <c r="G35" s="13"/>
      <c r="H35" s="44"/>
      <c r="I35" s="12"/>
    </row>
    <row r="36" spans="2:10" ht="12.75" customHeight="1" x14ac:dyDescent="0.2">
      <c r="B36" s="163">
        <f t="shared" si="0"/>
        <v>45988</v>
      </c>
      <c r="C36" s="140">
        <f>IFERROR(VLOOKUP(TEXT(WEEKDAY(B36),"dddd"),Afspraken!$A$4:$G$8,7,FALSE),"")</f>
        <v>8.5</v>
      </c>
      <c r="D36" s="146"/>
      <c r="E36" s="143"/>
      <c r="F36" s="15"/>
      <c r="G36" s="15"/>
      <c r="H36" s="45"/>
      <c r="I36" s="12"/>
    </row>
    <row r="37" spans="2:10" ht="12.75" customHeight="1" x14ac:dyDescent="0.2">
      <c r="B37" s="163">
        <f t="shared" si="0"/>
        <v>45989</v>
      </c>
      <c r="C37" s="140">
        <f>IFERROR(VLOOKUP(TEXT(WEEKDAY(B37),"dddd"),Afspraken!$A$4:$G$8,7,FALSE),"")</f>
        <v>5.9999999999999982</v>
      </c>
      <c r="D37" s="146"/>
      <c r="E37" s="143"/>
      <c r="F37" s="15"/>
      <c r="G37" s="15"/>
      <c r="H37" s="45"/>
      <c r="I37" s="12"/>
    </row>
    <row r="38" spans="2:10" ht="12.75" customHeight="1" x14ac:dyDescent="0.2">
      <c r="B38" s="163">
        <f t="shared" si="0"/>
        <v>45990</v>
      </c>
      <c r="C38" s="140" t="str">
        <f>IFERROR(VLOOKUP(TEXT(WEEKDAY(B38),"dddd"),Afspraken!$A$4:$G$8,7,FALSE),"")</f>
        <v/>
      </c>
      <c r="D38" s="146"/>
      <c r="E38" s="144"/>
      <c r="F38" s="138"/>
      <c r="G38" s="138"/>
      <c r="H38" s="139"/>
      <c r="I38" s="12"/>
    </row>
    <row r="39" spans="2:10" ht="12.75" customHeight="1" x14ac:dyDescent="0.2">
      <c r="B39" s="163">
        <f>IF(MONTH(B37+2)&lt;&gt;$E$4,"",B37+2)</f>
        <v>45991</v>
      </c>
      <c r="C39" s="140" t="str">
        <f>IFERROR(VLOOKUP(TEXT(WEEKDAY(B39),"dddd"),Afspraken!$A$4:$G$8,7,FALSE),"")</f>
        <v/>
      </c>
      <c r="D39" s="146"/>
      <c r="E39" s="141"/>
      <c r="F39" s="13"/>
      <c r="G39" s="13"/>
      <c r="H39" s="44"/>
      <c r="I39" s="12"/>
    </row>
    <row r="40" spans="2:10" ht="12.75" customHeight="1" thickBot="1" x14ac:dyDescent="0.25">
      <c r="B40" s="164" t="str">
        <f>IF(MONTH(B37+3)&lt;&gt;$E$4,"",B37+3)</f>
        <v/>
      </c>
      <c r="C40" s="165" t="str">
        <f>IFERROR(VLOOKUP(TEXT(WEEKDAY(B40),"dddd"),Afspraken!$A$4:$G$8,7,FALSE),"")</f>
        <v/>
      </c>
      <c r="D40" s="166"/>
      <c r="E40" s="167"/>
      <c r="F40" s="168"/>
      <c r="G40" s="168"/>
      <c r="H40" s="169"/>
      <c r="I40" s="12"/>
    </row>
    <row r="41" spans="2:10" s="14" customFormat="1" ht="12.75" customHeight="1" thickBot="1" x14ac:dyDescent="0.25">
      <c r="B41" s="21"/>
      <c r="C41" s="20"/>
      <c r="D41" s="175"/>
      <c r="E41" s="22"/>
      <c r="F41" s="175"/>
      <c r="G41" s="175"/>
      <c r="H41" s="175"/>
      <c r="I41" s="174"/>
    </row>
    <row r="42" spans="2:10" ht="12.75" thickBot="1" x14ac:dyDescent="0.25">
      <c r="B42" s="177" t="s">
        <v>18</v>
      </c>
      <c r="C42" s="171">
        <f>SUM(C10:C40)</f>
        <v>160</v>
      </c>
      <c r="D42" s="172">
        <f t="shared" ref="D42:H42" si="1">SUM(D10:D40)</f>
        <v>0</v>
      </c>
      <c r="E42" s="171">
        <f t="shared" si="1"/>
        <v>0</v>
      </c>
      <c r="F42" s="171">
        <f t="shared" si="1"/>
        <v>0</v>
      </c>
      <c r="G42" s="171">
        <f t="shared" si="1"/>
        <v>0</v>
      </c>
      <c r="H42" s="173">
        <f t="shared" si="1"/>
        <v>0</v>
      </c>
      <c r="I42" s="3"/>
      <c r="J42" s="8"/>
    </row>
    <row r="43" spans="2:10" x14ac:dyDescent="0.2">
      <c r="B43" s="6"/>
      <c r="C43" s="7"/>
      <c r="D43" s="176"/>
      <c r="E43" s="23"/>
      <c r="F43" s="176"/>
      <c r="G43" s="176"/>
      <c r="H43" s="176"/>
      <c r="I43" s="11"/>
      <c r="J43" s="8"/>
    </row>
    <row r="44" spans="2:10" x14ac:dyDescent="0.2">
      <c r="B44" s="6"/>
      <c r="C44" s="7"/>
      <c r="D44" s="16"/>
      <c r="E44" s="23"/>
      <c r="F44" s="16"/>
      <c r="G44" s="16"/>
      <c r="H44" s="16"/>
      <c r="I44" s="17"/>
      <c r="J44" s="8"/>
    </row>
    <row r="45" spans="2:10" x14ac:dyDescent="0.2">
      <c r="B45" s="9"/>
      <c r="D45" s="16"/>
      <c r="E45" s="4"/>
      <c r="F45" s="16"/>
      <c r="G45" s="16"/>
      <c r="H45" s="16"/>
      <c r="I45" s="17"/>
    </row>
    <row r="46" spans="2:10" x14ac:dyDescent="0.2">
      <c r="B46" s="322"/>
      <c r="C46" s="323"/>
      <c r="D46" s="4"/>
      <c r="E46" s="4"/>
      <c r="F46" s="4"/>
      <c r="G46" s="322"/>
      <c r="H46" s="322"/>
    </row>
    <row r="47" spans="2:10" x14ac:dyDescent="0.2">
      <c r="B47" s="2"/>
      <c r="C47" s="2"/>
      <c r="D47" s="2"/>
      <c r="E47" s="4"/>
      <c r="F47" s="2"/>
      <c r="G47" s="2"/>
      <c r="H47" s="2"/>
    </row>
    <row r="48" spans="2:10" x14ac:dyDescent="0.2">
      <c r="B48" s="2"/>
      <c r="C48" s="2"/>
      <c r="D48" s="2"/>
      <c r="E48" s="4"/>
      <c r="F48" s="2"/>
      <c r="G48" s="2"/>
      <c r="H48" s="2"/>
    </row>
    <row r="49" spans="2:9" x14ac:dyDescent="0.2">
      <c r="B49" s="2"/>
      <c r="C49" s="2"/>
      <c r="D49" s="2"/>
      <c r="E49" s="24"/>
      <c r="F49" s="2"/>
      <c r="G49" s="2"/>
      <c r="H49" s="2"/>
    </row>
    <row r="50" spans="2:9" x14ac:dyDescent="0.2">
      <c r="B50" s="9"/>
      <c r="C50" s="18"/>
      <c r="D50" s="18"/>
      <c r="E50" s="24"/>
      <c r="F50" s="18"/>
      <c r="G50" s="18"/>
      <c r="H50" s="18"/>
    </row>
    <row r="51" spans="2:9" x14ac:dyDescent="0.2">
      <c r="B51" s="9"/>
      <c r="C51" s="18"/>
      <c r="D51" s="18"/>
      <c r="E51" s="24"/>
      <c r="F51" s="18"/>
      <c r="G51" s="18"/>
      <c r="H51" s="18"/>
      <c r="I51" s="3"/>
    </row>
    <row r="52" spans="2:9" x14ac:dyDescent="0.2">
      <c r="B52" s="9"/>
      <c r="C52" s="18"/>
      <c r="D52" s="18"/>
      <c r="E52" s="24"/>
      <c r="F52" s="18"/>
      <c r="G52" s="18"/>
      <c r="H52" s="18"/>
      <c r="I52" s="3"/>
    </row>
    <row r="53" spans="2:9" x14ac:dyDescent="0.2">
      <c r="B53" s="9"/>
      <c r="C53" s="18"/>
      <c r="D53" s="18"/>
      <c r="F53" s="18"/>
      <c r="G53" s="18"/>
      <c r="H53" s="18"/>
      <c r="I53" s="3"/>
    </row>
  </sheetData>
  <mergeCells count="2">
    <mergeCell ref="B46:C46"/>
    <mergeCell ref="G46:H46"/>
  </mergeCells>
  <conditionalFormatting sqref="B10:H40">
    <cfRule type="expression" dxfId="1" priority="1">
      <formula>WEEKDAY($B10,2)&gt;=6</formula>
    </cfRule>
  </conditionalFormatting>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J53"/>
  <sheetViews>
    <sheetView zoomScaleNormal="100" workbookViewId="0">
      <selection activeCell="C6" sqref="C6"/>
    </sheetView>
  </sheetViews>
  <sheetFormatPr defaultColWidth="13.42578125" defaultRowHeight="12" x14ac:dyDescent="0.2"/>
  <cols>
    <col min="1" max="1" width="8.7109375" style="3" customWidth="1"/>
    <col min="2" max="2" width="13.42578125" style="19"/>
    <col min="3" max="3" width="11.7109375" style="3" bestFit="1" customWidth="1"/>
    <col min="4" max="4" width="17.7109375" style="3" bestFit="1" customWidth="1"/>
    <col min="5" max="5" width="10.7109375" style="14" bestFit="1" customWidth="1"/>
    <col min="6" max="6" width="5.5703125" style="3" bestFit="1" customWidth="1"/>
    <col min="7" max="7" width="5.85546875" style="3" bestFit="1" customWidth="1"/>
    <col min="8" max="8" width="15.140625" style="3" bestFit="1" customWidth="1"/>
    <col min="9" max="9" width="15.140625" style="5" bestFit="1" customWidth="1"/>
    <col min="10" max="16384" width="13.42578125" style="3"/>
  </cols>
  <sheetData>
    <row r="1" spans="2:10" x14ac:dyDescent="0.2">
      <c r="D1" s="14"/>
      <c r="E1" s="3"/>
      <c r="H1" s="5"/>
      <c r="I1" s="3"/>
    </row>
    <row r="2" spans="2:10" x14ac:dyDescent="0.2">
      <c r="B2" s="1" t="s">
        <v>0</v>
      </c>
      <c r="C2" s="2"/>
      <c r="D2" s="4"/>
      <c r="E2" s="2"/>
      <c r="F2" s="2"/>
      <c r="G2" s="2"/>
      <c r="H2" s="2"/>
      <c r="I2" s="3"/>
    </row>
    <row r="3" spans="2:10" x14ac:dyDescent="0.2">
      <c r="B3" s="2"/>
      <c r="C3" s="2"/>
      <c r="D3" s="4"/>
      <c r="E3" s="2"/>
      <c r="F3" s="2"/>
      <c r="G3" s="2"/>
      <c r="H3" s="2"/>
      <c r="I3" s="3"/>
    </row>
    <row r="4" spans="2:10" x14ac:dyDescent="0.2">
      <c r="B4" s="4" t="s">
        <v>1</v>
      </c>
      <c r="C4" s="2" t="str">
        <f>IF(Verlofoverzicht!D2="","",Verlofoverzicht!D2)</f>
        <v>Maickel</v>
      </c>
      <c r="D4" s="4" t="s">
        <v>2</v>
      </c>
      <c r="E4" s="2">
        <v>12</v>
      </c>
      <c r="F4" s="4" t="s">
        <v>3</v>
      </c>
      <c r="G4" s="5">
        <f>Verlofoverzicht!$O$2</f>
        <v>2025</v>
      </c>
      <c r="H4" s="2"/>
      <c r="I4" s="3"/>
    </row>
    <row r="5" spans="2:10" ht="6" customHeight="1" x14ac:dyDescent="0.2">
      <c r="B5" s="6"/>
      <c r="C5" s="2"/>
      <c r="D5" s="4"/>
      <c r="E5" s="3"/>
      <c r="F5" s="2"/>
      <c r="G5" s="2"/>
      <c r="H5" s="2"/>
      <c r="I5" s="3"/>
    </row>
    <row r="6" spans="2:10" ht="12" customHeight="1" x14ac:dyDescent="0.2">
      <c r="B6" s="4" t="s">
        <v>5</v>
      </c>
      <c r="C6" s="5">
        <v>38</v>
      </c>
      <c r="D6" s="4" t="s">
        <v>6</v>
      </c>
      <c r="E6" s="2" t="s">
        <v>7</v>
      </c>
      <c r="F6" s="4"/>
      <c r="G6" s="8"/>
      <c r="H6" s="2"/>
      <c r="I6" s="3"/>
    </row>
    <row r="7" spans="2:10" ht="12" customHeight="1" thickBot="1" x14ac:dyDescent="0.25">
      <c r="B7" s="9"/>
      <c r="C7" s="2"/>
      <c r="D7" s="4"/>
      <c r="E7" s="2"/>
      <c r="F7" s="2"/>
      <c r="G7" s="2"/>
      <c r="H7" s="2"/>
      <c r="I7" s="3"/>
    </row>
    <row r="8" spans="2:10" s="7" customFormat="1" ht="12.75" thickBot="1" x14ac:dyDescent="0.25">
      <c r="B8" s="151" t="s">
        <v>8</v>
      </c>
      <c r="C8" s="152" t="s">
        <v>9</v>
      </c>
      <c r="D8" s="153" t="s">
        <v>20</v>
      </c>
      <c r="E8" s="152" t="s">
        <v>10</v>
      </c>
      <c r="F8" s="152" t="s">
        <v>11</v>
      </c>
      <c r="G8" s="152" t="s">
        <v>12</v>
      </c>
      <c r="H8" s="154" t="s">
        <v>59</v>
      </c>
    </row>
    <row r="9" spans="2:10" s="8" customFormat="1" ht="13.5" customHeight="1" thickBot="1" x14ac:dyDescent="0.25">
      <c r="B9" s="147"/>
      <c r="C9" s="148"/>
      <c r="D9" s="149" t="s">
        <v>73</v>
      </c>
      <c r="E9" s="148"/>
      <c r="F9" s="148"/>
      <c r="G9" s="148"/>
      <c r="H9" s="150"/>
    </row>
    <row r="10" spans="2:10" s="12" customFormat="1" ht="12.75" customHeight="1" x14ac:dyDescent="0.2">
      <c r="B10" s="157">
        <f>DATE(G4,E4,1)</f>
        <v>45992</v>
      </c>
      <c r="C10" s="158">
        <f>IFERROR(VLOOKUP(TEXT(WEEKDAY(B10),"dddd"),Afspraken!$A$4:$G$8,7,FALSE),"")</f>
        <v>8.5</v>
      </c>
      <c r="D10" s="159"/>
      <c r="E10" s="160"/>
      <c r="F10" s="161"/>
      <c r="G10" s="161"/>
      <c r="H10" s="162"/>
    </row>
    <row r="11" spans="2:10" ht="12.75" customHeight="1" x14ac:dyDescent="0.2">
      <c r="B11" s="163">
        <f>IF(MONTH(B10+1)&lt;&gt;$E$4,"",B10+1)</f>
        <v>45993</v>
      </c>
      <c r="C11" s="140">
        <f>IFERROR(VLOOKUP(TEXT(WEEKDAY(B11),"dddd"),Afspraken!$A$4:$G$8,7,FALSE),"")</f>
        <v>8.5</v>
      </c>
      <c r="D11" s="146"/>
      <c r="E11" s="141"/>
      <c r="F11" s="13"/>
      <c r="G11" s="13"/>
      <c r="H11" s="43"/>
      <c r="I11" s="12"/>
      <c r="J11" s="12"/>
    </row>
    <row r="12" spans="2:10" ht="12.75" customHeight="1" x14ac:dyDescent="0.2">
      <c r="B12" s="163">
        <f t="shared" ref="B12:B38" si="0">IF(MONTH(B11+1)&lt;&gt;$E$4,"",B11+1)</f>
        <v>45994</v>
      </c>
      <c r="C12" s="140">
        <f>IFERROR(VLOOKUP(TEXT(WEEKDAY(B12),"dddd"),Afspraken!$A$4:$G$8,7,FALSE),"")</f>
        <v>8.5</v>
      </c>
      <c r="D12" s="146"/>
      <c r="E12" s="141"/>
      <c r="F12" s="13"/>
      <c r="G12" s="13"/>
      <c r="H12" s="43"/>
      <c r="I12" s="12"/>
      <c r="J12" s="12"/>
    </row>
    <row r="13" spans="2:10" ht="12.75" customHeight="1" x14ac:dyDescent="0.2">
      <c r="B13" s="163">
        <f t="shared" si="0"/>
        <v>45995</v>
      </c>
      <c r="C13" s="140">
        <f>IFERROR(VLOOKUP(TEXT(WEEKDAY(B13),"dddd"),Afspraken!$A$4:$G$8,7,FALSE),"")</f>
        <v>8.5</v>
      </c>
      <c r="D13" s="146"/>
      <c r="E13" s="141"/>
      <c r="F13" s="13"/>
      <c r="G13" s="13"/>
      <c r="H13" s="43"/>
      <c r="I13" s="12"/>
      <c r="J13" s="12"/>
    </row>
    <row r="14" spans="2:10" ht="12.75" customHeight="1" x14ac:dyDescent="0.2">
      <c r="B14" s="163">
        <f t="shared" si="0"/>
        <v>45996</v>
      </c>
      <c r="C14" s="140">
        <f>IFERROR(VLOOKUP(TEXT(WEEKDAY(B14),"dddd"),Afspraken!$A$4:$G$8,7,FALSE),"")</f>
        <v>5.9999999999999982</v>
      </c>
      <c r="D14" s="146"/>
      <c r="E14" s="141"/>
      <c r="F14" s="13"/>
      <c r="G14" s="13"/>
      <c r="H14" s="43"/>
      <c r="I14" s="12"/>
      <c r="J14" s="12"/>
    </row>
    <row r="15" spans="2:10" ht="12.75" customHeight="1" x14ac:dyDescent="0.2">
      <c r="B15" s="163">
        <f t="shared" si="0"/>
        <v>45997</v>
      </c>
      <c r="C15" s="140" t="str">
        <f>IFERROR(VLOOKUP(TEXT(WEEKDAY(B15),"dddd"),Afspraken!$A$4:$G$8,7,FALSE),"")</f>
        <v/>
      </c>
      <c r="D15" s="146"/>
      <c r="E15" s="142"/>
      <c r="F15" s="13"/>
      <c r="G15" s="13"/>
      <c r="H15" s="44"/>
      <c r="I15" s="12"/>
      <c r="J15" s="12"/>
    </row>
    <row r="16" spans="2:10" ht="12.75" customHeight="1" x14ac:dyDescent="0.2">
      <c r="B16" s="163">
        <f t="shared" si="0"/>
        <v>45998</v>
      </c>
      <c r="C16" s="140" t="str">
        <f>IFERROR(VLOOKUP(TEXT(WEEKDAY(B16),"dddd"),Afspraken!$A$4:$G$8,7,FALSE),"")</f>
        <v/>
      </c>
      <c r="D16" s="146"/>
      <c r="E16" s="143"/>
      <c r="F16" s="15"/>
      <c r="G16" s="15"/>
      <c r="H16" s="45"/>
      <c r="I16" s="12"/>
    </row>
    <row r="17" spans="2:9" ht="12.75" customHeight="1" x14ac:dyDescent="0.2">
      <c r="B17" s="163">
        <f t="shared" si="0"/>
        <v>45999</v>
      </c>
      <c r="C17" s="140">
        <f>IFERROR(VLOOKUP(TEXT(WEEKDAY(B17),"dddd"),Afspraken!$A$4:$G$8,7,FALSE),"")</f>
        <v>8.5</v>
      </c>
      <c r="D17" s="146"/>
      <c r="E17" s="141"/>
      <c r="F17" s="10"/>
      <c r="G17" s="10"/>
      <c r="H17" s="43"/>
      <c r="I17" s="12"/>
    </row>
    <row r="18" spans="2:9" ht="12.75" customHeight="1" x14ac:dyDescent="0.2">
      <c r="B18" s="163">
        <f t="shared" si="0"/>
        <v>46000</v>
      </c>
      <c r="C18" s="140">
        <f>IFERROR(VLOOKUP(TEXT(WEEKDAY(B18),"dddd"),Afspraken!$A$4:$G$8,7,FALSE),"")</f>
        <v>8.5</v>
      </c>
      <c r="D18" s="146"/>
      <c r="E18" s="141"/>
      <c r="F18" s="13"/>
      <c r="G18" s="13"/>
      <c r="H18" s="43"/>
      <c r="I18" s="12"/>
    </row>
    <row r="19" spans="2:9" ht="12.75" customHeight="1" x14ac:dyDescent="0.2">
      <c r="B19" s="163">
        <f t="shared" si="0"/>
        <v>46001</v>
      </c>
      <c r="C19" s="140">
        <f>IFERROR(VLOOKUP(TEXT(WEEKDAY(B19),"dddd"),Afspraken!$A$4:$G$8,7,FALSE),"")</f>
        <v>8.5</v>
      </c>
      <c r="D19" s="146"/>
      <c r="E19" s="141"/>
      <c r="F19" s="13"/>
      <c r="G19" s="13"/>
      <c r="H19" s="43"/>
      <c r="I19" s="12"/>
    </row>
    <row r="20" spans="2:9" ht="12.75" customHeight="1" x14ac:dyDescent="0.2">
      <c r="B20" s="163">
        <f t="shared" si="0"/>
        <v>46002</v>
      </c>
      <c r="C20" s="140">
        <f>IFERROR(VLOOKUP(TEXT(WEEKDAY(B20),"dddd"),Afspraken!$A$4:$G$8,7,FALSE),"")</f>
        <v>8.5</v>
      </c>
      <c r="D20" s="146"/>
      <c r="E20" s="141"/>
      <c r="F20" s="13"/>
      <c r="G20" s="13"/>
      <c r="H20" s="43"/>
      <c r="I20" s="12"/>
    </row>
    <row r="21" spans="2:9" ht="12.75" customHeight="1" x14ac:dyDescent="0.2">
      <c r="B21" s="163">
        <f t="shared" si="0"/>
        <v>46003</v>
      </c>
      <c r="C21" s="140">
        <f>IFERROR(VLOOKUP(TEXT(WEEKDAY(B21),"dddd"),Afspraken!$A$4:$G$8,7,FALSE),"")</f>
        <v>5.9999999999999982</v>
      </c>
      <c r="D21" s="146"/>
      <c r="E21" s="141"/>
      <c r="F21" s="13"/>
      <c r="G21" s="13"/>
      <c r="H21" s="44"/>
      <c r="I21" s="12"/>
    </row>
    <row r="22" spans="2:9" ht="12.75" customHeight="1" x14ac:dyDescent="0.2">
      <c r="B22" s="163">
        <f t="shared" si="0"/>
        <v>46004</v>
      </c>
      <c r="C22" s="140" t="str">
        <f>IFERROR(VLOOKUP(TEXT(WEEKDAY(B22),"dddd"),Afspraken!$A$4:$G$8,7,FALSE),"")</f>
        <v/>
      </c>
      <c r="D22" s="146"/>
      <c r="E22" s="143"/>
      <c r="F22" s="15"/>
      <c r="G22" s="15"/>
      <c r="H22" s="45"/>
      <c r="I22" s="12"/>
    </row>
    <row r="23" spans="2:9" ht="12.75" customHeight="1" x14ac:dyDescent="0.2">
      <c r="B23" s="163">
        <f t="shared" si="0"/>
        <v>46005</v>
      </c>
      <c r="C23" s="140" t="str">
        <f>IFERROR(VLOOKUP(TEXT(WEEKDAY(B23),"dddd"),Afspraken!$A$4:$G$8,7,FALSE),"")</f>
        <v/>
      </c>
      <c r="D23" s="146"/>
      <c r="E23" s="143"/>
      <c r="F23" s="15"/>
      <c r="G23" s="15"/>
      <c r="H23" s="45"/>
      <c r="I23" s="12"/>
    </row>
    <row r="24" spans="2:9" ht="12.75" customHeight="1" x14ac:dyDescent="0.2">
      <c r="B24" s="163">
        <f t="shared" si="0"/>
        <v>46006</v>
      </c>
      <c r="C24" s="140">
        <f>IFERROR(VLOOKUP(TEXT(WEEKDAY(B24),"dddd"),Afspraken!$A$4:$G$8,7,FALSE),"")</f>
        <v>8.5</v>
      </c>
      <c r="D24" s="146"/>
      <c r="E24" s="141"/>
      <c r="F24" s="10"/>
      <c r="G24" s="10"/>
      <c r="H24" s="43"/>
      <c r="I24" s="12"/>
    </row>
    <row r="25" spans="2:9" ht="12.75" customHeight="1" x14ac:dyDescent="0.2">
      <c r="B25" s="163">
        <f t="shared" si="0"/>
        <v>46007</v>
      </c>
      <c r="C25" s="140">
        <f>IFERROR(VLOOKUP(TEXT(WEEKDAY(B25),"dddd"),Afspraken!$A$4:$G$8,7,FALSE),"")</f>
        <v>8.5</v>
      </c>
      <c r="D25" s="146"/>
      <c r="E25" s="141"/>
      <c r="F25" s="13"/>
      <c r="G25" s="13"/>
      <c r="H25" s="44"/>
      <c r="I25" s="12"/>
    </row>
    <row r="26" spans="2:9" ht="12.75" customHeight="1" x14ac:dyDescent="0.2">
      <c r="B26" s="163">
        <f t="shared" si="0"/>
        <v>46008</v>
      </c>
      <c r="C26" s="140">
        <f>IFERROR(VLOOKUP(TEXT(WEEKDAY(B26),"dddd"),Afspraken!$A$4:$G$8,7,FALSE),"")</f>
        <v>8.5</v>
      </c>
      <c r="D26" s="146"/>
      <c r="E26" s="141"/>
      <c r="F26" s="13"/>
      <c r="G26" s="13"/>
      <c r="H26" s="44"/>
      <c r="I26" s="12"/>
    </row>
    <row r="27" spans="2:9" ht="12.75" customHeight="1" x14ac:dyDescent="0.2">
      <c r="B27" s="163">
        <f t="shared" si="0"/>
        <v>46009</v>
      </c>
      <c r="C27" s="140">
        <f>IFERROR(VLOOKUP(TEXT(WEEKDAY(B27),"dddd"),Afspraken!$A$4:$G$8,7,FALSE),"")</f>
        <v>8.5</v>
      </c>
      <c r="D27" s="146"/>
      <c r="E27" s="141"/>
      <c r="F27" s="13"/>
      <c r="G27" s="13"/>
      <c r="H27" s="44"/>
      <c r="I27" s="12"/>
    </row>
    <row r="28" spans="2:9" ht="12.75" customHeight="1" x14ac:dyDescent="0.2">
      <c r="B28" s="163">
        <f t="shared" si="0"/>
        <v>46010</v>
      </c>
      <c r="C28" s="140">
        <f>IFERROR(VLOOKUP(TEXT(WEEKDAY(B28),"dddd"),Afspraken!$A$4:$G$8,7,FALSE),"")</f>
        <v>5.9999999999999982</v>
      </c>
      <c r="D28" s="146"/>
      <c r="E28" s="141"/>
      <c r="F28" s="13"/>
      <c r="G28" s="13"/>
      <c r="H28" s="44"/>
      <c r="I28" s="12"/>
    </row>
    <row r="29" spans="2:9" ht="12.75" customHeight="1" x14ac:dyDescent="0.2">
      <c r="B29" s="163">
        <f t="shared" si="0"/>
        <v>46011</v>
      </c>
      <c r="C29" s="140" t="str">
        <f>IFERROR(VLOOKUP(TEXT(WEEKDAY(B29),"dddd"),Afspraken!$A$4:$G$8,7,FALSE),"")</f>
        <v/>
      </c>
      <c r="D29" s="146"/>
      <c r="E29" s="143"/>
      <c r="F29" s="15"/>
      <c r="G29" s="15"/>
      <c r="H29" s="45"/>
      <c r="I29" s="12"/>
    </row>
    <row r="30" spans="2:9" ht="12.75" customHeight="1" x14ac:dyDescent="0.2">
      <c r="B30" s="163">
        <f t="shared" si="0"/>
        <v>46012</v>
      </c>
      <c r="C30" s="140" t="str">
        <f>IFERROR(VLOOKUP(TEXT(WEEKDAY(B30),"dddd"),Afspraken!$A$4:$G$8,7,FALSE),"")</f>
        <v/>
      </c>
      <c r="D30" s="146"/>
      <c r="E30" s="143"/>
      <c r="F30" s="15"/>
      <c r="G30" s="15"/>
      <c r="H30" s="45"/>
      <c r="I30" s="12"/>
    </row>
    <row r="31" spans="2:9" ht="12.75" customHeight="1" x14ac:dyDescent="0.2">
      <c r="B31" s="163">
        <f t="shared" si="0"/>
        <v>46013</v>
      </c>
      <c r="C31" s="140">
        <f>IFERROR(VLOOKUP(TEXT(WEEKDAY(B31),"dddd"),Afspraken!$A$4:$G$8,7,FALSE),"")</f>
        <v>8.5</v>
      </c>
      <c r="D31" s="146"/>
      <c r="E31" s="141"/>
      <c r="F31" s="10"/>
      <c r="G31" s="10">
        <v>8.5</v>
      </c>
      <c r="H31" s="43"/>
      <c r="I31" s="12"/>
    </row>
    <row r="32" spans="2:9" ht="12.75" customHeight="1" x14ac:dyDescent="0.2">
      <c r="B32" s="163">
        <f t="shared" si="0"/>
        <v>46014</v>
      </c>
      <c r="C32" s="140">
        <f>IFERROR(VLOOKUP(TEXT(WEEKDAY(B32),"dddd"),Afspraken!$A$4:$G$8,7,FALSE),"")</f>
        <v>8.5</v>
      </c>
      <c r="D32" s="146"/>
      <c r="E32" s="141"/>
      <c r="F32" s="13"/>
      <c r="G32" s="13">
        <v>8.5</v>
      </c>
      <c r="H32" s="44"/>
      <c r="I32" s="12"/>
    </row>
    <row r="33" spans="2:10" ht="12.75" customHeight="1" x14ac:dyDescent="0.2">
      <c r="B33" s="163">
        <f t="shared" si="0"/>
        <v>46015</v>
      </c>
      <c r="C33" s="140">
        <f>IFERROR(VLOOKUP(TEXT(WEEKDAY(B33),"dddd"),Afspraken!$A$4:$G$8,7,FALSE),"")</f>
        <v>8.5</v>
      </c>
      <c r="D33" s="146"/>
      <c r="E33" s="141"/>
      <c r="F33" s="13"/>
      <c r="G33" s="13">
        <v>8.5</v>
      </c>
      <c r="H33" s="44"/>
      <c r="I33" s="12"/>
    </row>
    <row r="34" spans="2:10" ht="12.75" customHeight="1" x14ac:dyDescent="0.2">
      <c r="B34" s="163">
        <f t="shared" si="0"/>
        <v>46016</v>
      </c>
      <c r="C34" s="140">
        <f>IFERROR(VLOOKUP(TEXT(WEEKDAY(B34),"dddd"),Afspraken!$A$4:$G$8,7,FALSE),"")</f>
        <v>8.5</v>
      </c>
      <c r="D34" s="146"/>
      <c r="E34" s="178">
        <v>8.5</v>
      </c>
      <c r="F34" s="13"/>
      <c r="G34" s="13"/>
      <c r="H34" s="44"/>
      <c r="I34" s="12"/>
    </row>
    <row r="35" spans="2:10" ht="12.75" customHeight="1" x14ac:dyDescent="0.2">
      <c r="B35" s="163">
        <f t="shared" si="0"/>
        <v>46017</v>
      </c>
      <c r="C35" s="140">
        <f>IFERROR(VLOOKUP(TEXT(WEEKDAY(B35),"dddd"),Afspraken!$A$4:$G$8,7,FALSE),"")</f>
        <v>5.9999999999999982</v>
      </c>
      <c r="D35" s="146"/>
      <c r="E35" s="178">
        <v>6</v>
      </c>
      <c r="F35" s="13"/>
      <c r="G35" s="13"/>
      <c r="H35" s="44"/>
      <c r="I35" s="12"/>
    </row>
    <row r="36" spans="2:10" ht="12.75" customHeight="1" x14ac:dyDescent="0.2">
      <c r="B36" s="163">
        <f t="shared" si="0"/>
        <v>46018</v>
      </c>
      <c r="C36" s="140" t="str">
        <f>IFERROR(VLOOKUP(TEXT(WEEKDAY(B36),"dddd"),Afspraken!$A$4:$G$8,7,FALSE),"")</f>
        <v/>
      </c>
      <c r="D36" s="146"/>
      <c r="E36" s="143"/>
      <c r="F36" s="15"/>
      <c r="G36" s="15"/>
      <c r="H36" s="45"/>
      <c r="I36" s="12"/>
    </row>
    <row r="37" spans="2:10" ht="12.75" customHeight="1" x14ac:dyDescent="0.2">
      <c r="B37" s="163">
        <f t="shared" si="0"/>
        <v>46019</v>
      </c>
      <c r="C37" s="140" t="str">
        <f>IFERROR(VLOOKUP(TEXT(WEEKDAY(B37),"dddd"),Afspraken!$A$4:$G$8,7,FALSE),"")</f>
        <v/>
      </c>
      <c r="D37" s="146"/>
      <c r="E37" s="143"/>
      <c r="F37" s="15"/>
      <c r="G37" s="15"/>
      <c r="H37" s="45"/>
      <c r="I37" s="12"/>
    </row>
    <row r="38" spans="2:10" ht="12.75" customHeight="1" x14ac:dyDescent="0.2">
      <c r="B38" s="163">
        <f t="shared" si="0"/>
        <v>46020</v>
      </c>
      <c r="C38" s="140">
        <f>IFERROR(VLOOKUP(TEXT(WEEKDAY(B38),"dddd"),Afspraken!$A$4:$G$8,7,FALSE),"")</f>
        <v>8.5</v>
      </c>
      <c r="D38" s="146"/>
      <c r="E38" s="144"/>
      <c r="F38" s="138"/>
      <c r="G38" s="138">
        <v>8.5</v>
      </c>
      <c r="H38" s="139"/>
      <c r="I38" s="12"/>
    </row>
    <row r="39" spans="2:10" ht="12.75" customHeight="1" x14ac:dyDescent="0.2">
      <c r="B39" s="163">
        <f>IF(MONTH(B37+2)&lt;&gt;$E$4,"",B37+2)</f>
        <v>46021</v>
      </c>
      <c r="C39" s="140">
        <f>IFERROR(VLOOKUP(TEXT(WEEKDAY(B39),"dddd"),Afspraken!$A$4:$G$8,7,FALSE),"")</f>
        <v>8.5</v>
      </c>
      <c r="D39" s="146"/>
      <c r="E39" s="141"/>
      <c r="F39" s="13"/>
      <c r="G39" s="13">
        <v>8.5</v>
      </c>
      <c r="H39" s="44"/>
      <c r="I39" s="12"/>
    </row>
    <row r="40" spans="2:10" ht="12.75" customHeight="1" thickBot="1" x14ac:dyDescent="0.25">
      <c r="B40" s="164">
        <f>IF(MONTH(B37+3)&lt;&gt;$E$4,"",B37+3)</f>
        <v>46022</v>
      </c>
      <c r="C40" s="165">
        <f>IFERROR(VLOOKUP(TEXT(WEEKDAY(B40),"dddd"),Afspraken!$A$4:$G$8,7,FALSE),"")</f>
        <v>8.5</v>
      </c>
      <c r="D40" s="166"/>
      <c r="E40" s="167"/>
      <c r="F40" s="168"/>
      <c r="G40" s="168">
        <v>8.5</v>
      </c>
      <c r="H40" s="169"/>
      <c r="I40" s="12"/>
    </row>
    <row r="41" spans="2:10" s="14" customFormat="1" ht="12.75" customHeight="1" thickBot="1" x14ac:dyDescent="0.25">
      <c r="B41" s="21"/>
      <c r="C41" s="20"/>
      <c r="D41" s="175"/>
      <c r="E41" s="22"/>
      <c r="F41" s="175"/>
      <c r="G41" s="175"/>
      <c r="H41" s="175"/>
      <c r="I41" s="174"/>
    </row>
    <row r="42" spans="2:10" ht="12.75" thickBot="1" x14ac:dyDescent="0.25">
      <c r="B42" s="177" t="s">
        <v>18</v>
      </c>
      <c r="C42" s="171">
        <f>SUM(C10:C40)</f>
        <v>185.5</v>
      </c>
      <c r="D42" s="172">
        <f t="shared" ref="D42:H42" si="1">SUM(D10:D40)</f>
        <v>0</v>
      </c>
      <c r="E42" s="171">
        <f t="shared" si="1"/>
        <v>14.5</v>
      </c>
      <c r="F42" s="171">
        <f t="shared" si="1"/>
        <v>0</v>
      </c>
      <c r="G42" s="171">
        <f t="shared" si="1"/>
        <v>51</v>
      </c>
      <c r="H42" s="173">
        <f t="shared" si="1"/>
        <v>0</v>
      </c>
      <c r="I42" s="3"/>
      <c r="J42" s="8"/>
    </row>
    <row r="43" spans="2:10" x14ac:dyDescent="0.2">
      <c r="B43" s="9"/>
      <c r="C43" s="7"/>
      <c r="D43" s="176"/>
      <c r="E43" s="23"/>
      <c r="F43" s="176"/>
      <c r="G43" s="176"/>
      <c r="H43" s="176"/>
      <c r="I43" s="11"/>
      <c r="J43" s="8"/>
    </row>
    <row r="44" spans="2:10" x14ac:dyDescent="0.2">
      <c r="B44" s="6"/>
      <c r="C44" s="7"/>
      <c r="D44" s="16"/>
      <c r="E44" s="23"/>
      <c r="F44" s="16"/>
      <c r="G44" s="16"/>
      <c r="H44" s="16"/>
      <c r="I44" s="17"/>
      <c r="J44" s="8"/>
    </row>
    <row r="45" spans="2:10" x14ac:dyDescent="0.2">
      <c r="B45" s="9"/>
      <c r="D45" s="16"/>
      <c r="E45" s="4"/>
      <c r="F45" s="16"/>
      <c r="G45" s="16"/>
      <c r="H45" s="16"/>
      <c r="I45" s="17"/>
    </row>
    <row r="46" spans="2:10" x14ac:dyDescent="0.2">
      <c r="B46" s="322"/>
      <c r="C46" s="323"/>
      <c r="D46" s="4"/>
      <c r="E46" s="4"/>
      <c r="F46" s="4"/>
      <c r="G46" s="322"/>
      <c r="H46" s="322"/>
    </row>
    <row r="47" spans="2:10" x14ac:dyDescent="0.2">
      <c r="B47" s="2"/>
      <c r="C47" s="2"/>
      <c r="D47" s="2"/>
      <c r="E47" s="4"/>
      <c r="F47" s="2"/>
      <c r="G47" s="2"/>
      <c r="H47" s="2"/>
    </row>
    <row r="48" spans="2:10" x14ac:dyDescent="0.2">
      <c r="B48" s="2"/>
      <c r="C48" s="2"/>
      <c r="D48" s="2"/>
      <c r="E48" s="4"/>
      <c r="F48" s="2"/>
      <c r="G48" s="2"/>
      <c r="H48" s="2"/>
    </row>
    <row r="49" spans="2:9" x14ac:dyDescent="0.2">
      <c r="B49" s="2"/>
      <c r="C49" s="2"/>
      <c r="D49" s="2"/>
      <c r="E49" s="24"/>
      <c r="F49" s="2"/>
      <c r="G49" s="2"/>
      <c r="H49" s="2"/>
    </row>
    <row r="50" spans="2:9" x14ac:dyDescent="0.2">
      <c r="B50" s="9"/>
      <c r="C50" s="18"/>
      <c r="D50" s="18"/>
      <c r="E50" s="24"/>
      <c r="F50" s="18"/>
      <c r="G50" s="18"/>
      <c r="H50" s="18"/>
    </row>
    <row r="51" spans="2:9" x14ac:dyDescent="0.2">
      <c r="B51" s="9"/>
      <c r="C51" s="18"/>
      <c r="D51" s="18"/>
      <c r="E51" s="24"/>
      <c r="F51" s="18"/>
      <c r="G51" s="18"/>
      <c r="H51" s="18"/>
      <c r="I51" s="3"/>
    </row>
    <row r="52" spans="2:9" x14ac:dyDescent="0.2">
      <c r="B52" s="9"/>
      <c r="C52" s="18"/>
      <c r="D52" s="18"/>
      <c r="E52" s="24"/>
      <c r="F52" s="18"/>
      <c r="G52" s="18"/>
      <c r="H52" s="18"/>
      <c r="I52" s="3"/>
    </row>
    <row r="53" spans="2:9" x14ac:dyDescent="0.2">
      <c r="B53" s="9"/>
      <c r="C53" s="18"/>
      <c r="D53" s="18"/>
      <c r="F53" s="18"/>
      <c r="G53" s="18"/>
      <c r="H53" s="18"/>
      <c r="I53" s="3"/>
    </row>
  </sheetData>
  <mergeCells count="2">
    <mergeCell ref="B46:C46"/>
    <mergeCell ref="G46:H46"/>
  </mergeCells>
  <conditionalFormatting sqref="B10:H40">
    <cfRule type="expression" dxfId="0" priority="1">
      <formula>WEEKDAY($B10,2)&gt;=6</formula>
    </cfRule>
  </conditionalFormatting>
  <pageMargins left="0.7" right="0.7" top="0.75" bottom="0.75" header="0.3" footer="0.3"/>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14</vt:i4>
      </vt:variant>
    </vt:vector>
  </HeadingPairs>
  <TitlesOfParts>
    <vt:vector size="14" baseType="lpstr">
      <vt:lpstr>Verlofoverzicht</vt:lpstr>
      <vt:lpstr>Afspraken</vt:lpstr>
      <vt:lpstr>Periode 1</vt:lpstr>
      <vt:lpstr>Periode 2</vt:lpstr>
      <vt:lpstr>Periode 3</vt:lpstr>
      <vt:lpstr>Periode 4</vt:lpstr>
      <vt:lpstr>Periode 5</vt:lpstr>
      <vt:lpstr>Periode 6</vt:lpstr>
      <vt:lpstr>Periode 7</vt:lpstr>
      <vt:lpstr>Periode 8</vt:lpstr>
      <vt:lpstr>Periode 9</vt:lpstr>
      <vt:lpstr>Periode 10</vt:lpstr>
      <vt:lpstr>Periode 11</vt:lpstr>
      <vt:lpstr>Periode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Oetelaar</dc:creator>
  <cp:lastModifiedBy>Dorian | Van den Oetelaar Metaal</cp:lastModifiedBy>
  <cp:lastPrinted>2025-06-12T05:19:23Z</cp:lastPrinted>
  <dcterms:created xsi:type="dcterms:W3CDTF">2017-02-06T13:09:49Z</dcterms:created>
  <dcterms:modified xsi:type="dcterms:W3CDTF">2025-10-09T12:40:01Z</dcterms:modified>
</cp:coreProperties>
</file>